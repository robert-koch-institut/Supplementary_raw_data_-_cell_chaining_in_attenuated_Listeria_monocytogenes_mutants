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igene Paper\Sabrina MreB EzrA DivIVA morphotypes in infection\Virulence\raw data\"/>
    </mc:Choice>
  </mc:AlternateContent>
  <xr:revisionPtr revIDLastSave="0" documentId="13_ncr:1_{B2EBC940-9185-463C-BBD9-03D8C206ED98}" xr6:coauthVersionLast="36" xr6:coauthVersionMax="36" xr10:uidLastSave="{00000000-0000-0000-0000-000000000000}"/>
  <bookViews>
    <workbookView xWindow="0" yWindow="0" windowWidth="28800" windowHeight="12705" xr2:uid="{82F5D998-434D-4603-B2AC-1C6185803AB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1" l="1"/>
  <c r="D17" i="1"/>
  <c r="E17" i="1"/>
  <c r="C17" i="1"/>
  <c r="C10" i="1"/>
  <c r="D10" i="1"/>
  <c r="E10" i="1"/>
  <c r="F10" i="1"/>
  <c r="C11" i="1"/>
  <c r="D11" i="1"/>
  <c r="E11" i="1"/>
  <c r="F11" i="1"/>
  <c r="C12" i="1"/>
  <c r="D12" i="1"/>
  <c r="E12" i="1"/>
  <c r="F12" i="1"/>
  <c r="B11" i="1"/>
  <c r="B12" i="1"/>
  <c r="B10" i="1"/>
  <c r="C6" i="1"/>
  <c r="D6" i="1"/>
  <c r="E6" i="1"/>
  <c r="F6" i="1"/>
  <c r="B6" i="1"/>
  <c r="D16" i="1" l="1"/>
  <c r="D13" i="1"/>
  <c r="C14" i="1"/>
  <c r="F14" i="1"/>
  <c r="F15" i="1"/>
  <c r="E14" i="1"/>
  <c r="D14" i="1"/>
  <c r="F18" i="1"/>
  <c r="C16" i="1"/>
  <c r="B13" i="1"/>
  <c r="C13" i="1"/>
  <c r="F16" i="1"/>
  <c r="F13" i="1"/>
  <c r="B14" i="1"/>
  <c r="E16" i="1"/>
  <c r="E13" i="1"/>
</calcChain>
</file>

<file path=xl/sharedStrings.xml><?xml version="1.0" encoding="utf-8"?>
<sst xmlns="http://schemas.openxmlformats.org/spreadsheetml/2006/main" count="25" uniqueCount="15">
  <si>
    <t>i</t>
  </si>
  <si>
    <t>iii</t>
  </si>
  <si>
    <t>avg</t>
  </si>
  <si>
    <t>EGD-e</t>
  </si>
  <si>
    <t>ΔprfA</t>
  </si>
  <si>
    <t>prfA*</t>
  </si>
  <si>
    <t>ΔdivIVA</t>
  </si>
  <si>
    <t>ΔdivIVA prfA*</t>
  </si>
  <si>
    <t>s</t>
  </si>
  <si>
    <t>P vs divIVA</t>
  </si>
  <si>
    <t>P vs wt</t>
  </si>
  <si>
    <t>BH</t>
  </si>
  <si>
    <t>P vs prfA*</t>
  </si>
  <si>
    <t>invasion rates</t>
  </si>
  <si>
    <t>relative invasion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</si>
</sst>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Fill="1" applyBorder="1"/>
    <xf numFmtId="0" fontId="0" fillId="0" borderId="6" xfId="0" applyBorder="1"/>
    <xf numFmtId="0" fontId="0" fillId="0" borderId="7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Tabelle1!$B$14:$F$14</c:f>
                <c:numCache>
                  <c:formatCode>General</c:formatCode>
                  <c:ptCount val="5"/>
                  <c:pt idx="0">
                    <c:v>3.6342957041507785E-2</c:v>
                  </c:pt>
                  <c:pt idx="1">
                    <c:v>2.5051809074090961E-4</c:v>
                  </c:pt>
                  <c:pt idx="2">
                    <c:v>0.27052662694907104</c:v>
                  </c:pt>
                  <c:pt idx="3">
                    <c:v>2.0952006749676289E-2</c:v>
                  </c:pt>
                  <c:pt idx="4">
                    <c:v>0.65767484448030566</c:v>
                  </c:pt>
                </c:numCache>
              </c:numRef>
            </c:plus>
            <c:minus>
              <c:numRef>
                <c:f>Tabelle1!$B$14:$F$14</c:f>
                <c:numCache>
                  <c:formatCode>General</c:formatCode>
                  <c:ptCount val="5"/>
                  <c:pt idx="0">
                    <c:v>3.6342957041507785E-2</c:v>
                  </c:pt>
                  <c:pt idx="1">
                    <c:v>2.5051809074090961E-4</c:v>
                  </c:pt>
                  <c:pt idx="2">
                    <c:v>0.27052662694907104</c:v>
                  </c:pt>
                  <c:pt idx="3">
                    <c:v>2.0952006749676289E-2</c:v>
                  </c:pt>
                  <c:pt idx="4">
                    <c:v>0.65767484448030566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Tabelle1!$B$9:$F$9</c:f>
              <c:strCache>
                <c:ptCount val="5"/>
                <c:pt idx="0">
                  <c:v>EGD-e</c:v>
                </c:pt>
                <c:pt idx="1">
                  <c:v>ΔprfA</c:v>
                </c:pt>
                <c:pt idx="2">
                  <c:v>prfA*</c:v>
                </c:pt>
                <c:pt idx="3">
                  <c:v>ΔdivIVA</c:v>
                </c:pt>
                <c:pt idx="4">
                  <c:v>ΔdivIVA prfA*</c:v>
                </c:pt>
              </c:strCache>
            </c:strRef>
          </c:cat>
          <c:val>
            <c:numRef>
              <c:f>Tabelle1!$B$13:$F$13</c:f>
              <c:numCache>
                <c:formatCode>General</c:formatCode>
                <c:ptCount val="5"/>
                <c:pt idx="0">
                  <c:v>1.0000000001112443</c:v>
                </c:pt>
                <c:pt idx="1">
                  <c:v>1.4463668712613522E-4</c:v>
                </c:pt>
                <c:pt idx="2">
                  <c:v>2.9595631638552131</c:v>
                </c:pt>
                <c:pt idx="3">
                  <c:v>4.7667100118731161E-2</c:v>
                </c:pt>
                <c:pt idx="4">
                  <c:v>2.0721122534892609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9-4C1B-A3DC-CC5B584C1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2173408"/>
        <c:axId val="492172424"/>
      </c:barChart>
      <c:catAx>
        <c:axId val="492173408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492172424"/>
        <c:crossesAt val="1.0000000000000003E-4"/>
        <c:auto val="1"/>
        <c:lblAlgn val="ctr"/>
        <c:lblOffset val="100"/>
        <c:noMultiLvlLbl val="0"/>
      </c:catAx>
      <c:valAx>
        <c:axId val="492172424"/>
        <c:scaling>
          <c:logBase val="10"/>
          <c:orientation val="minMax"/>
          <c:min val="1.0000000000000003E-4"/>
        </c:scaling>
        <c:delete val="0"/>
        <c:axPos val="l"/>
        <c:numFmt formatCode="General" sourceLinked="1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49217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20</xdr:row>
      <xdr:rowOff>123825</xdr:rowOff>
    </xdr:from>
    <xdr:to>
      <xdr:col>5</xdr:col>
      <xdr:colOff>457200</xdr:colOff>
      <xdr:row>35</xdr:row>
      <xdr:rowOff>9525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6E12086-1662-47A4-AAEF-DA2789271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E2421-3641-4C3A-8A71-37B977D6270A}">
  <dimension ref="A1:F18"/>
  <sheetViews>
    <sheetView tabSelected="1" workbookViewId="0">
      <selection activeCell="I18" sqref="I18"/>
    </sheetView>
  </sheetViews>
  <sheetFormatPr baseColWidth="10" defaultRowHeight="15" x14ac:dyDescent="0.25"/>
  <cols>
    <col min="1" max="1" width="20.7109375" bestFit="1" customWidth="1"/>
    <col min="2" max="5" width="12" bestFit="1" customWidth="1"/>
    <col min="6" max="6" width="13.28515625" bestFit="1" customWidth="1"/>
  </cols>
  <sheetData>
    <row r="1" spans="1:6" x14ac:dyDescent="0.25">
      <c r="A1" t="s">
        <v>13</v>
      </c>
    </row>
    <row r="2" spans="1:6" x14ac:dyDescent="0.25">
      <c r="A2" s="1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x14ac:dyDescent="0.25">
      <c r="A3" s="2" t="s">
        <v>0</v>
      </c>
      <c r="B3" s="2">
        <v>1.2806755023514322</v>
      </c>
      <c r="C3" s="2">
        <v>5.7580490148966847E-4</v>
      </c>
      <c r="D3" s="2">
        <v>3.5938242280285033</v>
      </c>
      <c r="E3" s="2">
        <v>4.182857142857143E-2</v>
      </c>
      <c r="F3" s="2">
        <v>3.6103979460847238</v>
      </c>
    </row>
    <row r="4" spans="1:6" x14ac:dyDescent="0.25">
      <c r="A4" s="3" t="s">
        <v>0</v>
      </c>
      <c r="B4" s="3">
        <v>1.3234362628661915</v>
      </c>
      <c r="C4" s="3">
        <v>0</v>
      </c>
      <c r="D4" s="3">
        <v>3.881019830028329</v>
      </c>
      <c r="E4" s="3">
        <v>5.3262445625906228E-2</v>
      </c>
      <c r="F4" s="3">
        <v>1.8653909600791818</v>
      </c>
    </row>
    <row r="5" spans="1:6" x14ac:dyDescent="0.25">
      <c r="A5" s="3" t="s">
        <v>1</v>
      </c>
      <c r="B5" s="3">
        <v>1.3769314472252447</v>
      </c>
      <c r="C5" s="3">
        <v>0</v>
      </c>
      <c r="D5" s="3">
        <v>4.3073047858942068</v>
      </c>
      <c r="E5" s="4">
        <v>9.4673768308921435E-2</v>
      </c>
      <c r="F5" s="4">
        <v>2.773379515091539</v>
      </c>
    </row>
    <row r="6" spans="1:6" x14ac:dyDescent="0.25">
      <c r="A6" s="1" t="s">
        <v>2</v>
      </c>
      <c r="B6" s="1">
        <f>AVERAGE(B3:B5)</f>
        <v>1.3270144041476228</v>
      </c>
      <c r="C6" s="1">
        <f t="shared" ref="C6:F6" si="0">AVERAGE(C3:C5)</f>
        <v>1.9193496716322282E-4</v>
      </c>
      <c r="D6" s="1">
        <f t="shared" si="0"/>
        <v>3.9273829479836793</v>
      </c>
      <c r="E6" s="1">
        <f t="shared" si="0"/>
        <v>6.3254928454466355E-2</v>
      </c>
      <c r="F6" s="1">
        <f t="shared" si="0"/>
        <v>2.7497228070851478</v>
      </c>
    </row>
    <row r="8" spans="1:6" x14ac:dyDescent="0.25">
      <c r="A8" t="s">
        <v>14</v>
      </c>
    </row>
    <row r="9" spans="1:6" x14ac:dyDescent="0.25">
      <c r="A9" s="1"/>
      <c r="B9" s="2" t="s">
        <v>3</v>
      </c>
      <c r="C9" s="2" t="s">
        <v>4</v>
      </c>
      <c r="D9" s="2" t="s">
        <v>5</v>
      </c>
      <c r="E9" s="2" t="s">
        <v>6</v>
      </c>
      <c r="F9" s="2" t="s">
        <v>7</v>
      </c>
    </row>
    <row r="10" spans="1:6" x14ac:dyDescent="0.25">
      <c r="A10" s="5" t="s">
        <v>0</v>
      </c>
      <c r="B10" s="2">
        <f>B3/1.327014404</f>
        <v>0.96508033258049863</v>
      </c>
      <c r="C10" s="2">
        <f t="shared" ref="C10:F10" si="1">C3/1.327014404</f>
        <v>4.3391006137840569E-4</v>
      </c>
      <c r="D10" s="2">
        <f t="shared" si="1"/>
        <v>2.7082028779760732</v>
      </c>
      <c r="E10" s="2">
        <f t="shared" si="1"/>
        <v>3.1520811908663675E-2</v>
      </c>
      <c r="F10" s="2">
        <f t="shared" si="1"/>
        <v>2.7206923566179495</v>
      </c>
    </row>
    <row r="11" spans="1:6" x14ac:dyDescent="0.25">
      <c r="A11" s="7" t="s">
        <v>0</v>
      </c>
      <c r="B11" s="3">
        <f t="shared" ref="B11:F12" si="2">B4/1.327014404</f>
        <v>0.99730361545208335</v>
      </c>
      <c r="C11" s="3">
        <f t="shared" si="2"/>
        <v>0</v>
      </c>
      <c r="D11" s="3">
        <f t="shared" si="2"/>
        <v>2.9246252477213721</v>
      </c>
      <c r="E11" s="3">
        <f t="shared" si="2"/>
        <v>4.0137051614027718E-2</v>
      </c>
      <c r="F11" s="3">
        <f t="shared" si="2"/>
        <v>1.4057051336114825</v>
      </c>
    </row>
    <row r="12" spans="1:6" x14ac:dyDescent="0.25">
      <c r="A12" s="8" t="s">
        <v>1</v>
      </c>
      <c r="B12" s="4">
        <f t="shared" si="2"/>
        <v>1.0376160523011511</v>
      </c>
      <c r="C12" s="4">
        <f t="shared" si="2"/>
        <v>0</v>
      </c>
      <c r="D12" s="4">
        <f t="shared" si="2"/>
        <v>3.2458613658681936</v>
      </c>
      <c r="E12" s="4">
        <f t="shared" si="2"/>
        <v>7.1343436833502097E-2</v>
      </c>
      <c r="F12" s="4">
        <f t="shared" si="2"/>
        <v>2.0899392702383501</v>
      </c>
    </row>
    <row r="13" spans="1:6" x14ac:dyDescent="0.25">
      <c r="A13" s="1" t="s">
        <v>2</v>
      </c>
      <c r="B13" s="4">
        <f>AVERAGE(B10:B12)</f>
        <v>1.0000000001112443</v>
      </c>
      <c r="C13" s="4">
        <f t="shared" ref="C13:F13" si="3">AVERAGE(C10:C12)</f>
        <v>1.4463668712613522E-4</v>
      </c>
      <c r="D13" s="4">
        <f t="shared" si="3"/>
        <v>2.9595631638552131</v>
      </c>
      <c r="E13" s="4">
        <f t="shared" si="3"/>
        <v>4.7667100118731161E-2</v>
      </c>
      <c r="F13" s="4">
        <f t="shared" si="3"/>
        <v>2.0721122534892609</v>
      </c>
    </row>
    <row r="14" spans="1:6" x14ac:dyDescent="0.25">
      <c r="A14" s="1" t="s">
        <v>8</v>
      </c>
      <c r="B14" s="1">
        <f>STDEV(B10:B12)</f>
        <v>3.6342957041507785E-2</v>
      </c>
      <c r="C14" s="1">
        <f t="shared" ref="C14:F14" si="4">STDEV(C10:C12)</f>
        <v>2.5051809074090961E-4</v>
      </c>
      <c r="D14" s="1">
        <f t="shared" si="4"/>
        <v>0.27052662694907104</v>
      </c>
      <c r="E14" s="1">
        <f t="shared" si="4"/>
        <v>2.0952006749676289E-2</v>
      </c>
      <c r="F14" s="1">
        <f t="shared" si="4"/>
        <v>0.65767484448030566</v>
      </c>
    </row>
    <row r="15" spans="1:6" x14ac:dyDescent="0.25">
      <c r="A15" s="1" t="s">
        <v>9</v>
      </c>
      <c r="B15" s="1"/>
      <c r="C15" s="1"/>
      <c r="D15" s="1"/>
      <c r="E15" s="1"/>
      <c r="F15" s="6">
        <f>TTEST(E10:E12,F10:F12,2,2)</f>
        <v>5.9697984129853665E-3</v>
      </c>
    </row>
    <row r="16" spans="1:6" x14ac:dyDescent="0.25">
      <c r="A16" s="1" t="s">
        <v>10</v>
      </c>
      <c r="B16" s="1"/>
      <c r="C16" s="1">
        <f>TTEST($B$10:$B$12,C10:C12,2,2)</f>
        <v>1.1604014565525877E-6</v>
      </c>
      <c r="D16" s="1">
        <f t="shared" ref="D16:F16" si="5">TTEST($B$10:$B$12,D10:D12,2,2)</f>
        <v>2.4051955037668123E-4</v>
      </c>
      <c r="E16" s="1">
        <f t="shared" si="5"/>
        <v>2.4992428446744459E-6</v>
      </c>
      <c r="F16" s="1">
        <f t="shared" si="5"/>
        <v>4.7866485639217277E-2</v>
      </c>
    </row>
    <row r="17" spans="1:6" x14ac:dyDescent="0.25">
      <c r="A17" s="1" t="s">
        <v>11</v>
      </c>
      <c r="B17" s="1"/>
      <c r="C17" s="6">
        <f>C16*4</f>
        <v>4.6416058262103508E-6</v>
      </c>
      <c r="D17" s="6">
        <f>D16*2</f>
        <v>4.8103910075336247E-4</v>
      </c>
      <c r="E17" s="6">
        <f>E16*3</f>
        <v>7.4977285340233372E-6</v>
      </c>
      <c r="F17" s="6">
        <f>F16*1</f>
        <v>4.7866485639217277E-2</v>
      </c>
    </row>
    <row r="18" spans="1:6" x14ac:dyDescent="0.25">
      <c r="A18" s="1" t="s">
        <v>12</v>
      </c>
      <c r="B18" s="1"/>
      <c r="C18" s="1"/>
      <c r="D18" s="1"/>
      <c r="E18" s="1"/>
      <c r="F18" s="1">
        <f>TTEST(D10:D12,F10:F12,2,2)</f>
        <v>9.6729469397426021E-2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Robert Koch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Halbedel, Sven</dc:creator>
  <cp:lastModifiedBy>Halbedel, Sven</cp:lastModifiedBy>
  <dcterms:created xsi:type="dcterms:W3CDTF">2026-01-22T09:48:03Z</dcterms:created>
  <dcterms:modified xsi:type="dcterms:W3CDTF">2026-01-22T10:04:48Z</dcterms:modified>
</cp:coreProperties>
</file>