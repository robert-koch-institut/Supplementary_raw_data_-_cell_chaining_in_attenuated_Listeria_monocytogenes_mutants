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igene Paper\Sabrina MreB EzrA DivIVA morphotypes in infection\Virulence\raw data\"/>
    </mc:Choice>
  </mc:AlternateContent>
  <xr:revisionPtr revIDLastSave="0" documentId="8_{D40B23F1-551D-40F0-A4C1-58BD91BFCBF3}" xr6:coauthVersionLast="36" xr6:coauthVersionMax="36" xr10:uidLastSave="{00000000-0000-0000-0000-000000000000}"/>
  <bookViews>
    <workbookView xWindow="0" yWindow="0" windowWidth="28800" windowHeight="12705" xr2:uid="{085DEE27-C6A6-4BB7-897E-4CB0ED51D9B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1" l="1"/>
  <c r="K10" i="1"/>
  <c r="J10" i="1"/>
  <c r="J9" i="1"/>
  <c r="I10" i="1"/>
  <c r="I9" i="1"/>
  <c r="I8" i="1"/>
  <c r="H9" i="1"/>
  <c r="H10" i="1"/>
  <c r="H8" i="1"/>
  <c r="C15" i="1"/>
  <c r="D15" i="1"/>
  <c r="E15" i="1"/>
  <c r="F15" i="1"/>
  <c r="C16" i="1"/>
  <c r="D16" i="1"/>
  <c r="E16" i="1"/>
  <c r="F16" i="1"/>
  <c r="C17" i="1"/>
  <c r="D17" i="1"/>
  <c r="E17" i="1"/>
  <c r="F17" i="1"/>
  <c r="F14" i="1"/>
  <c r="E14" i="1"/>
  <c r="D14" i="1"/>
  <c r="C14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G3" i="1"/>
  <c r="F3" i="1"/>
</calcChain>
</file>

<file path=xl/sharedStrings.xml><?xml version="1.0" encoding="utf-8"?>
<sst xmlns="http://schemas.openxmlformats.org/spreadsheetml/2006/main" count="38" uniqueCount="17">
  <si>
    <t>CFU/ml</t>
  </si>
  <si>
    <t>time</t>
  </si>
  <si>
    <t>strain</t>
  </si>
  <si>
    <t>i</t>
  </si>
  <si>
    <t>ii</t>
  </si>
  <si>
    <t>iii</t>
  </si>
  <si>
    <t>avg</t>
  </si>
  <si>
    <t>s</t>
  </si>
  <si>
    <t>P vs wt</t>
  </si>
  <si>
    <t>P vs divIVA</t>
  </si>
  <si>
    <t xml:space="preserve">0 h p. i. </t>
  </si>
  <si>
    <t>wt</t>
  </si>
  <si>
    <t>6 h p. i.</t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</si>
  <si>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divIVA</t>
    </r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</si>
  <si>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divIVA secA2 M95I</t>
    </r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</si>
  <si>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divIVA secA2 T123A</t>
    </r>
  </si>
  <si>
    <t>with 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</si>
</sst>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Tabelle1!$C$13</c:f>
              <c:strCache>
                <c:ptCount val="1"/>
                <c:pt idx="0">
                  <c:v>0 h p. i. 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Tabelle1!$E$14:$E$17</c:f>
                <c:numCache>
                  <c:formatCode>General</c:formatCode>
                  <c:ptCount val="4"/>
                  <c:pt idx="0">
                    <c:v>1204.0348832155985</c:v>
                  </c:pt>
                  <c:pt idx="1">
                    <c:v>1215.2777460317457</c:v>
                  </c:pt>
                  <c:pt idx="2">
                    <c:v>14288.992266776548</c:v>
                  </c:pt>
                  <c:pt idx="3">
                    <c:v>16577.286669818226</c:v>
                  </c:pt>
                </c:numCache>
              </c:numRef>
            </c:plus>
            <c:minus>
              <c:numRef>
                <c:f>Tabelle1!$E$14:$E$17</c:f>
                <c:numCache>
                  <c:formatCode>General</c:formatCode>
                  <c:ptCount val="4"/>
                  <c:pt idx="0">
                    <c:v>1204.0348832155985</c:v>
                  </c:pt>
                  <c:pt idx="1">
                    <c:v>1215.2777460317457</c:v>
                  </c:pt>
                  <c:pt idx="2">
                    <c:v>14288.992266776548</c:v>
                  </c:pt>
                  <c:pt idx="3">
                    <c:v>16577.286669818226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Tabelle1!$B$14:$B$17</c:f>
              <c:strCache>
                <c:ptCount val="4"/>
                <c:pt idx="0">
                  <c:v>wt</c:v>
                </c:pt>
                <c:pt idx="1">
                  <c:v>ΔdivIVA</c:v>
                </c:pt>
                <c:pt idx="2">
                  <c:v>ΔdivIVA secA2 T123A</c:v>
                </c:pt>
                <c:pt idx="3">
                  <c:v>ΔdivIVA secA2 M95I</c:v>
                </c:pt>
              </c:strCache>
            </c:strRef>
          </c:cat>
          <c:val>
            <c:numRef>
              <c:f>Tabelle1!$C$14:$C$17</c:f>
              <c:numCache>
                <c:formatCode>General</c:formatCode>
                <c:ptCount val="4"/>
                <c:pt idx="0">
                  <c:v>62390</c:v>
                </c:pt>
                <c:pt idx="1">
                  <c:v>56780</c:v>
                </c:pt>
                <c:pt idx="2">
                  <c:v>85630</c:v>
                </c:pt>
                <c:pt idx="3">
                  <c:v>64086.666666666664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9-4D41-9AD8-063BF3ACAF1E}"/>
            </c:ext>
          </c:extLst>
        </c:ser>
        <c:ser>
          <c:idx val="1"/>
          <c:order val="1"/>
          <c:tx>
            <c:strRef>
              <c:f>Tabelle1!$D$13</c:f>
              <c:strCache>
                <c:ptCount val="1"/>
                <c:pt idx="0">
                  <c:v>6 h p. i.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Tabelle1!$F$14:$F$17</c:f>
                <c:numCache>
                  <c:formatCode>General</c:formatCode>
                  <c:ptCount val="4"/>
                  <c:pt idx="0">
                    <c:v>72556.621567802576</c:v>
                  </c:pt>
                  <c:pt idx="1">
                    <c:v>7284.5458563546235</c:v>
                  </c:pt>
                  <c:pt idx="2">
                    <c:v>13688.072666863414</c:v>
                  </c:pt>
                  <c:pt idx="3">
                    <c:v>7040.5965656327735</c:v>
                  </c:pt>
                </c:numCache>
              </c:numRef>
            </c:plus>
            <c:minus>
              <c:numRef>
                <c:f>Tabelle1!$F$14:$F$17</c:f>
                <c:numCache>
                  <c:formatCode>General</c:formatCode>
                  <c:ptCount val="4"/>
                  <c:pt idx="0">
                    <c:v>72556.621567802576</c:v>
                  </c:pt>
                  <c:pt idx="1">
                    <c:v>7284.5458563546235</c:v>
                  </c:pt>
                  <c:pt idx="2">
                    <c:v>13688.072666863414</c:v>
                  </c:pt>
                  <c:pt idx="3">
                    <c:v>7040.5965656327735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Tabelle1!$B$14:$B$17</c:f>
              <c:strCache>
                <c:ptCount val="4"/>
                <c:pt idx="0">
                  <c:v>wt</c:v>
                </c:pt>
                <c:pt idx="1">
                  <c:v>ΔdivIVA</c:v>
                </c:pt>
                <c:pt idx="2">
                  <c:v>ΔdivIVA secA2 T123A</c:v>
                </c:pt>
                <c:pt idx="3">
                  <c:v>ΔdivIVA secA2 M95I</c:v>
                </c:pt>
              </c:strCache>
            </c:strRef>
          </c:cat>
          <c:val>
            <c:numRef>
              <c:f>Tabelle1!$D$14:$D$17</c:f>
              <c:numCache>
                <c:formatCode>General</c:formatCode>
                <c:ptCount val="4"/>
                <c:pt idx="0">
                  <c:v>486366.66666666669</c:v>
                </c:pt>
                <c:pt idx="1">
                  <c:v>14678.333333333334</c:v>
                </c:pt>
                <c:pt idx="2">
                  <c:v>144733.33333333334</c:v>
                </c:pt>
                <c:pt idx="3">
                  <c:v>111500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49-4D41-9AD8-063BF3ACA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2493488"/>
        <c:axId val="482492504"/>
      </c:barChart>
      <c:catAx>
        <c:axId val="482493488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482492504"/>
        <c:crosses val="autoZero"/>
        <c:auto val="1"/>
        <c:lblAlgn val="ctr"/>
        <c:lblOffset val="100"/>
        <c:noMultiLvlLbl val="0"/>
      </c:catAx>
      <c:valAx>
        <c:axId val="482492504"/>
        <c:scaling>
          <c:logBase val="10"/>
          <c:orientation val="minMax"/>
          <c:min val="1000"/>
        </c:scaling>
        <c:delete val="0"/>
        <c:axPos val="l"/>
        <c:numFmt formatCode="General" sourceLinked="1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48249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10</xdr:row>
      <xdr:rowOff>171450</xdr:rowOff>
    </xdr:from>
    <xdr:to>
      <xdr:col>12</xdr:col>
      <xdr:colOff>47625</xdr:colOff>
      <xdr:row>25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024060F-B29B-4CF7-9D89-D35B068B0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6DC4-2EB2-46B6-B058-8FE49691A43E}">
  <dimension ref="A1:K17"/>
  <sheetViews>
    <sheetView tabSelected="1" workbookViewId="0">
      <selection activeCell="N10" sqref="N10"/>
    </sheetView>
  </sheetViews>
  <sheetFormatPr baseColWidth="10" defaultRowHeight="15" x14ac:dyDescent="0.25"/>
  <cols>
    <col min="1" max="1" width="7.7109375" bestFit="1" customWidth="1"/>
    <col min="2" max="2" width="19.42578125" bestFit="1" customWidth="1"/>
    <col min="3" max="11" width="12" bestFit="1" customWidth="1"/>
  </cols>
  <sheetData>
    <row r="1" spans="1:11" x14ac:dyDescent="0.25">
      <c r="A1" s="1"/>
      <c r="B1" s="1"/>
      <c r="C1" s="1" t="s">
        <v>0</v>
      </c>
      <c r="D1" s="1"/>
      <c r="E1" s="1"/>
      <c r="F1" s="1"/>
      <c r="G1" s="1"/>
      <c r="H1" s="1"/>
      <c r="I1" s="1"/>
      <c r="J1" s="1"/>
      <c r="K1" s="1"/>
    </row>
    <row r="2" spans="1:1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16</v>
      </c>
      <c r="J2" s="3" t="s">
        <v>9</v>
      </c>
      <c r="K2" s="3" t="s">
        <v>16</v>
      </c>
    </row>
    <row r="3" spans="1:11" x14ac:dyDescent="0.25">
      <c r="A3" s="3" t="s">
        <v>10</v>
      </c>
      <c r="B3" s="3" t="s">
        <v>11</v>
      </c>
      <c r="C3" s="3">
        <v>61110</v>
      </c>
      <c r="D3" s="3">
        <v>62560</v>
      </c>
      <c r="E3" s="3">
        <v>63500</v>
      </c>
      <c r="F3" s="3">
        <f>AVERAGE(C3:E3)</f>
        <v>62390</v>
      </c>
      <c r="G3" s="3">
        <f>STDEV(C3:E3)</f>
        <v>1204.0348832155985</v>
      </c>
      <c r="H3" s="3"/>
      <c r="I3" s="3"/>
      <c r="J3" s="3"/>
      <c r="K3" s="3"/>
    </row>
    <row r="4" spans="1:11" x14ac:dyDescent="0.25">
      <c r="A4" s="4" t="s">
        <v>10</v>
      </c>
      <c r="B4" s="4" t="s">
        <v>13</v>
      </c>
      <c r="C4" s="4">
        <v>57980</v>
      </c>
      <c r="D4" s="4">
        <v>56810</v>
      </c>
      <c r="E4" s="4">
        <v>55550</v>
      </c>
      <c r="F4" s="4">
        <f t="shared" ref="F4:F10" si="0">AVERAGE(C4:E4)</f>
        <v>56780</v>
      </c>
      <c r="G4" s="4">
        <f t="shared" ref="G4:G10" si="1">STDEV(C4:E4)</f>
        <v>1215.2777460317457</v>
      </c>
      <c r="H4" s="4"/>
      <c r="I4" s="4"/>
      <c r="J4" s="4"/>
      <c r="K4" s="4"/>
    </row>
    <row r="5" spans="1:11" x14ac:dyDescent="0.25">
      <c r="A5" s="4" t="s">
        <v>10</v>
      </c>
      <c r="B5" s="4" t="s">
        <v>15</v>
      </c>
      <c r="C5" s="4">
        <v>75120</v>
      </c>
      <c r="D5" s="4">
        <v>101900</v>
      </c>
      <c r="E5" s="4">
        <v>79870</v>
      </c>
      <c r="F5" s="4">
        <f t="shared" si="0"/>
        <v>85630</v>
      </c>
      <c r="G5" s="4">
        <f t="shared" si="1"/>
        <v>14288.992266776548</v>
      </c>
      <c r="H5" s="4"/>
      <c r="I5" s="4"/>
      <c r="J5" s="4"/>
      <c r="K5" s="4"/>
    </row>
    <row r="6" spans="1:11" x14ac:dyDescent="0.25">
      <c r="A6" s="2" t="s">
        <v>10</v>
      </c>
      <c r="B6" s="2" t="s">
        <v>14</v>
      </c>
      <c r="C6" s="2">
        <v>76080</v>
      </c>
      <c r="D6" s="2">
        <v>71010</v>
      </c>
      <c r="E6" s="2">
        <v>45170</v>
      </c>
      <c r="F6" s="2">
        <f t="shared" si="0"/>
        <v>64086.666666666664</v>
      </c>
      <c r="G6" s="2">
        <f t="shared" si="1"/>
        <v>16577.286669818226</v>
      </c>
      <c r="H6" s="2"/>
      <c r="I6" s="2"/>
      <c r="J6" s="2"/>
      <c r="K6" s="2"/>
    </row>
    <row r="7" spans="1:11" x14ac:dyDescent="0.25">
      <c r="A7" s="3" t="s">
        <v>12</v>
      </c>
      <c r="B7" s="3" t="s">
        <v>11</v>
      </c>
      <c r="C7" s="3">
        <v>529600</v>
      </c>
      <c r="D7" s="3">
        <v>526900</v>
      </c>
      <c r="E7" s="3">
        <v>402600</v>
      </c>
      <c r="F7" s="3">
        <f t="shared" si="0"/>
        <v>486366.66666666669</v>
      </c>
      <c r="G7" s="3">
        <f t="shared" si="1"/>
        <v>72556.621567802576</v>
      </c>
      <c r="H7" s="3"/>
      <c r="I7" s="3"/>
      <c r="J7" s="3"/>
      <c r="K7" s="3"/>
    </row>
    <row r="8" spans="1:11" x14ac:dyDescent="0.25">
      <c r="A8" s="4" t="s">
        <v>12</v>
      </c>
      <c r="B8" s="4" t="s">
        <v>13</v>
      </c>
      <c r="C8" s="4">
        <v>22790</v>
      </c>
      <c r="D8" s="4">
        <v>8695</v>
      </c>
      <c r="E8" s="4">
        <v>12550</v>
      </c>
      <c r="F8" s="4">
        <f t="shared" si="0"/>
        <v>14678.333333333334</v>
      </c>
      <c r="G8" s="4">
        <f t="shared" si="1"/>
        <v>7284.5458563546235</v>
      </c>
      <c r="H8" s="4">
        <f>TTEST($C$7:$E$7,C8:E8,2,2)</f>
        <v>3.6139891896861596E-4</v>
      </c>
      <c r="I8" s="4">
        <f>H8*3</f>
        <v>1.0841967569058478E-3</v>
      </c>
      <c r="J8" s="4"/>
      <c r="K8" s="4"/>
    </row>
    <row r="9" spans="1:11" x14ac:dyDescent="0.25">
      <c r="A9" s="4" t="s">
        <v>12</v>
      </c>
      <c r="B9" s="4" t="s">
        <v>15</v>
      </c>
      <c r="C9" s="4">
        <v>148700</v>
      </c>
      <c r="D9" s="4">
        <v>156000</v>
      </c>
      <c r="E9" s="4">
        <v>129500</v>
      </c>
      <c r="F9" s="4">
        <f t="shared" si="0"/>
        <v>144733.33333333334</v>
      </c>
      <c r="G9" s="4">
        <f t="shared" si="1"/>
        <v>13688.072666863414</v>
      </c>
      <c r="H9" s="4">
        <f t="shared" ref="H9:H10" si="2">TTEST($C$7:$E$7,C9:E9,2,2)</f>
        <v>1.315115376896443E-3</v>
      </c>
      <c r="I9" s="4">
        <f>H9*2</f>
        <v>2.6302307537928861E-3</v>
      </c>
      <c r="J9" s="4">
        <f>TTEST($C$8:$E$8,C9:E9,2,2)</f>
        <v>1.3054946316666473E-4</v>
      </c>
      <c r="K9" s="4">
        <f>J9*1</f>
        <v>1.3054946316666473E-4</v>
      </c>
    </row>
    <row r="10" spans="1:11" x14ac:dyDescent="0.25">
      <c r="A10" s="2" t="s">
        <v>12</v>
      </c>
      <c r="B10" s="2" t="s">
        <v>14</v>
      </c>
      <c r="C10" s="2">
        <v>119100</v>
      </c>
      <c r="D10" s="2">
        <v>110200</v>
      </c>
      <c r="E10" s="2">
        <v>105200</v>
      </c>
      <c r="F10" s="2">
        <f t="shared" si="0"/>
        <v>111500</v>
      </c>
      <c r="G10" s="2">
        <f t="shared" si="1"/>
        <v>7040.5965656327735</v>
      </c>
      <c r="H10" s="2">
        <f t="shared" si="2"/>
        <v>8.7822932065636139E-4</v>
      </c>
      <c r="I10" s="2">
        <f>H10*1</f>
        <v>8.7822932065636139E-4</v>
      </c>
      <c r="J10" s="2">
        <f>TTEST($C$8:$E$8,C10:E10,2,2)</f>
        <v>7.8003331548984859E-5</v>
      </c>
      <c r="K10" s="2">
        <f>J10*2</f>
        <v>1.5600666309796972E-4</v>
      </c>
    </row>
    <row r="12" spans="1:11" x14ac:dyDescent="0.25">
      <c r="B12" s="1"/>
      <c r="C12" s="1" t="s">
        <v>6</v>
      </c>
      <c r="D12" s="1"/>
      <c r="E12" s="1" t="s">
        <v>7</v>
      </c>
      <c r="F12" s="1"/>
    </row>
    <row r="13" spans="1:11" x14ac:dyDescent="0.25">
      <c r="B13" s="1"/>
      <c r="C13" s="1" t="s">
        <v>10</v>
      </c>
      <c r="D13" s="1" t="s">
        <v>12</v>
      </c>
      <c r="E13" s="1" t="s">
        <v>10</v>
      </c>
      <c r="F13" s="1" t="s">
        <v>12</v>
      </c>
    </row>
    <row r="14" spans="1:11" x14ac:dyDescent="0.25">
      <c r="B14" s="3" t="s">
        <v>11</v>
      </c>
      <c r="C14" s="3">
        <f>F3</f>
        <v>62390</v>
      </c>
      <c r="D14" s="3">
        <f>F7</f>
        <v>486366.66666666669</v>
      </c>
      <c r="E14" s="3">
        <f>G3</f>
        <v>1204.0348832155985</v>
      </c>
      <c r="F14" s="3">
        <f>G7</f>
        <v>72556.621567802576</v>
      </c>
    </row>
    <row r="15" spans="1:11" x14ac:dyDescent="0.25">
      <c r="B15" s="4" t="s">
        <v>13</v>
      </c>
      <c r="C15" s="4">
        <f t="shared" ref="C15:C17" si="3">F4</f>
        <v>56780</v>
      </c>
      <c r="D15" s="4">
        <f t="shared" ref="D15:D17" si="4">F8</f>
        <v>14678.333333333334</v>
      </c>
      <c r="E15" s="4">
        <f t="shared" ref="E15:E17" si="5">G4</f>
        <v>1215.2777460317457</v>
      </c>
      <c r="F15" s="4">
        <f t="shared" ref="F15:F17" si="6">G8</f>
        <v>7284.5458563546235</v>
      </c>
    </row>
    <row r="16" spans="1:11" x14ac:dyDescent="0.25">
      <c r="B16" s="4" t="s">
        <v>15</v>
      </c>
      <c r="C16" s="4">
        <f t="shared" si="3"/>
        <v>85630</v>
      </c>
      <c r="D16" s="4">
        <f t="shared" si="4"/>
        <v>144733.33333333334</v>
      </c>
      <c r="E16" s="4">
        <f t="shared" si="5"/>
        <v>14288.992266776548</v>
      </c>
      <c r="F16" s="4">
        <f t="shared" si="6"/>
        <v>13688.072666863414</v>
      </c>
    </row>
    <row r="17" spans="2:6" x14ac:dyDescent="0.25">
      <c r="B17" s="2" t="s">
        <v>14</v>
      </c>
      <c r="C17" s="2">
        <f t="shared" si="3"/>
        <v>64086.666666666664</v>
      </c>
      <c r="D17" s="2">
        <f t="shared" si="4"/>
        <v>111500</v>
      </c>
      <c r="E17" s="2">
        <f t="shared" si="5"/>
        <v>16577.286669818226</v>
      </c>
      <c r="F17" s="2">
        <f t="shared" si="6"/>
        <v>7040.5965656327735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Robert Koch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Halbedel, Sven</dc:creator>
  <cp:lastModifiedBy>Halbedel, Sven</cp:lastModifiedBy>
  <dcterms:created xsi:type="dcterms:W3CDTF">2026-01-22T10:33:33Z</dcterms:created>
  <dcterms:modified xsi:type="dcterms:W3CDTF">2026-01-22T10:47:53Z</dcterms:modified>
</cp:coreProperties>
</file>