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8_{0CC66702-E3D9-4CBA-AEAF-263A12C97250}" xr6:coauthVersionLast="36" xr6:coauthVersionMax="36" xr10:uidLastSave="{00000000-0000-0000-0000-000000000000}"/>
  <bookViews>
    <workbookView xWindow="0" yWindow="0" windowWidth="28800" windowHeight="12705" xr2:uid="{5529DD53-0FAB-4437-9335-CD5DA62EBA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F15" i="1"/>
  <c r="E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C15" i="1"/>
  <c r="B15" i="1"/>
</calcChain>
</file>

<file path=xl/sharedStrings.xml><?xml version="1.0" encoding="utf-8"?>
<sst xmlns="http://schemas.openxmlformats.org/spreadsheetml/2006/main" count="19" uniqueCount="8">
  <si>
    <t>time [h]</t>
  </si>
  <si>
    <t>LMS2 (ΔdivIVA)</t>
  </si>
  <si>
    <t>EGD-e (wt)</t>
  </si>
  <si>
    <t>i</t>
  </si>
  <si>
    <t>ii</t>
  </si>
  <si>
    <t>iii</t>
  </si>
  <si>
    <t>avg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</si>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</sst>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Tabelle1!$B$14</c:f>
              <c:strCache>
                <c:ptCount val="1"/>
                <c:pt idx="0">
                  <c:v>EGD-e (wt)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Tabelle1!$E$15:$E$23</c:f>
                <c:numCache>
                  <c:formatCode>General</c:formatCode>
                  <c:ptCount val="9"/>
                  <c:pt idx="0">
                    <c:v>3.6055512754639887E-3</c:v>
                  </c:pt>
                  <c:pt idx="1">
                    <c:v>1.0535653752852737E-2</c:v>
                  </c:pt>
                  <c:pt idx="2">
                    <c:v>3.1511902513177363E-2</c:v>
                  </c:pt>
                  <c:pt idx="3">
                    <c:v>3.2511536414017744E-2</c:v>
                  </c:pt>
                  <c:pt idx="4">
                    <c:v>0.19502136635080106</c:v>
                  </c:pt>
                  <c:pt idx="5">
                    <c:v>8.1853527718724603E-2</c:v>
                  </c:pt>
                  <c:pt idx="6">
                    <c:v>9.073771725877465E-2</c:v>
                  </c:pt>
                  <c:pt idx="7">
                    <c:v>0.18583146486355157</c:v>
                  </c:pt>
                  <c:pt idx="8">
                    <c:v>0.18175074506954098</c:v>
                  </c:pt>
                </c:numCache>
              </c:numRef>
            </c:plus>
            <c:minus>
              <c:numRef>
                <c:f>Tabelle1!$E$15:$E$23</c:f>
                <c:numCache>
                  <c:formatCode>General</c:formatCode>
                  <c:ptCount val="9"/>
                  <c:pt idx="0">
                    <c:v>3.6055512754639887E-3</c:v>
                  </c:pt>
                  <c:pt idx="1">
                    <c:v>1.0535653752852737E-2</c:v>
                  </c:pt>
                  <c:pt idx="2">
                    <c:v>3.1511902513177363E-2</c:v>
                  </c:pt>
                  <c:pt idx="3">
                    <c:v>3.2511536414017744E-2</c:v>
                  </c:pt>
                  <c:pt idx="4">
                    <c:v>0.19502136635080106</c:v>
                  </c:pt>
                  <c:pt idx="5">
                    <c:v>8.1853527718724603E-2</c:v>
                  </c:pt>
                  <c:pt idx="6">
                    <c:v>9.073771725877465E-2</c:v>
                  </c:pt>
                  <c:pt idx="7">
                    <c:v>0.18583146486355157</c:v>
                  </c:pt>
                  <c:pt idx="8">
                    <c:v>0.18175074506954098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Tabelle1!$A$15:$A$23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Tabelle1!$B$15:$B$23</c:f>
              <c:numCache>
                <c:formatCode>General</c:formatCode>
                <c:ptCount val="9"/>
                <c:pt idx="0">
                  <c:v>4.5000000000000005E-2</c:v>
                </c:pt>
                <c:pt idx="1">
                  <c:v>8.2000000000000003E-2</c:v>
                </c:pt>
                <c:pt idx="2">
                  <c:v>0.22700000000000001</c:v>
                </c:pt>
                <c:pt idx="3">
                  <c:v>0.60099999999999998</c:v>
                </c:pt>
                <c:pt idx="4">
                  <c:v>1.5133333333333334</c:v>
                </c:pt>
                <c:pt idx="5">
                  <c:v>2.6</c:v>
                </c:pt>
                <c:pt idx="6">
                  <c:v>3.0033333333333334</c:v>
                </c:pt>
                <c:pt idx="7">
                  <c:v>3.0066666666666664</c:v>
                </c:pt>
                <c:pt idx="8">
                  <c:v>2.9033333333333338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6-4248-AF76-4A822A328106}"/>
            </c:ext>
          </c:extLst>
        </c:ser>
        <c:ser>
          <c:idx val="1"/>
          <c:order val="1"/>
          <c:tx>
            <c:strRef>
              <c:f>Tabelle1!$C$14</c:f>
              <c:strCache>
                <c:ptCount val="1"/>
                <c:pt idx="0">
                  <c:v>LMS2 (ΔdivIVA)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Tabelle1!$F$15:$F$23</c:f>
                <c:numCache>
                  <c:formatCode>General</c:formatCode>
                  <c:ptCount val="9"/>
                  <c:pt idx="0">
                    <c:v>4.9328828623162449E-3</c:v>
                  </c:pt>
                  <c:pt idx="1">
                    <c:v>2.8867513459481312E-3</c:v>
                  </c:pt>
                  <c:pt idx="2">
                    <c:v>5.1961524227066361E-3</c:v>
                  </c:pt>
                  <c:pt idx="3">
                    <c:v>2.2143471573656516E-2</c:v>
                  </c:pt>
                  <c:pt idx="4">
                    <c:v>0.13576941236277534</c:v>
                  </c:pt>
                  <c:pt idx="5">
                    <c:v>0.19287301521985903</c:v>
                  </c:pt>
                  <c:pt idx="6">
                    <c:v>0.31342197327776999</c:v>
                  </c:pt>
                  <c:pt idx="7">
                    <c:v>6.1101009266077921E-2</c:v>
                  </c:pt>
                  <c:pt idx="8">
                    <c:v>0.160727512683216</c:v>
                  </c:pt>
                </c:numCache>
              </c:numRef>
            </c:plus>
            <c:minus>
              <c:numRef>
                <c:f>Tabelle1!$F$15:$F$23</c:f>
                <c:numCache>
                  <c:formatCode>General</c:formatCode>
                  <c:ptCount val="9"/>
                  <c:pt idx="0">
                    <c:v>4.9328828623162449E-3</c:v>
                  </c:pt>
                  <c:pt idx="1">
                    <c:v>2.8867513459481312E-3</c:v>
                  </c:pt>
                  <c:pt idx="2">
                    <c:v>5.1961524227066361E-3</c:v>
                  </c:pt>
                  <c:pt idx="3">
                    <c:v>2.2143471573656516E-2</c:v>
                  </c:pt>
                  <c:pt idx="4">
                    <c:v>0.13576941236277534</c:v>
                  </c:pt>
                  <c:pt idx="5">
                    <c:v>0.19287301521985903</c:v>
                  </c:pt>
                  <c:pt idx="6">
                    <c:v>0.31342197327776999</c:v>
                  </c:pt>
                  <c:pt idx="7">
                    <c:v>6.1101009266077921E-2</c:v>
                  </c:pt>
                  <c:pt idx="8">
                    <c:v>0.160727512683216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Tabelle1!$A$15:$A$23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Tabelle1!$C$15:$C$23</c:f>
              <c:numCache>
                <c:formatCode>General</c:formatCode>
                <c:ptCount val="9"/>
                <c:pt idx="0">
                  <c:v>4.5333333333333337E-2</c:v>
                </c:pt>
                <c:pt idx="1">
                  <c:v>7.4333333333333321E-2</c:v>
                </c:pt>
                <c:pt idx="2">
                  <c:v>0.18000000000000002</c:v>
                </c:pt>
                <c:pt idx="3">
                  <c:v>0.48666666666666664</c:v>
                </c:pt>
                <c:pt idx="4">
                  <c:v>1.1866666666666668</c:v>
                </c:pt>
                <c:pt idx="5">
                  <c:v>1.95</c:v>
                </c:pt>
                <c:pt idx="6">
                  <c:v>2.5266666666666668</c:v>
                </c:pt>
                <c:pt idx="7">
                  <c:v>2.813333333333333</c:v>
                </c:pt>
                <c:pt idx="8">
                  <c:v>2.9833333333333329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6-4248-AF76-4A822A32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31176"/>
        <c:axId val="352632816"/>
      </c:scatterChart>
      <c:valAx>
        <c:axId val="35263117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2632816"/>
        <c:crossesAt val="1.0000000000000002E-2"/>
        <c:crossBetween val="midCat"/>
        <c:minorUnit val="1"/>
      </c:valAx>
      <c:valAx>
        <c:axId val="352632816"/>
        <c:scaling>
          <c:logBase val="10"/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52631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12</xdr:row>
      <xdr:rowOff>185737</xdr:rowOff>
    </xdr:from>
    <xdr:to>
      <xdr:col>12</xdr:col>
      <xdr:colOff>638175</xdr:colOff>
      <xdr:row>27</xdr:row>
      <xdr:rowOff>71437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6C0B96F-B785-4ACA-8D1B-BB8DA28BC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0845-B852-472C-9481-683818C7DA3C}">
  <dimension ref="A1:K23"/>
  <sheetViews>
    <sheetView tabSelected="1" workbookViewId="0">
      <selection activeCell="N13" sqref="N13"/>
    </sheetView>
  </sheetViews>
  <sheetFormatPr baseColWidth="10" defaultRowHeight="15" x14ac:dyDescent="0.25"/>
  <sheetData>
    <row r="1" spans="1:11" x14ac:dyDescent="0.25">
      <c r="A1" t="s">
        <v>3</v>
      </c>
      <c r="E1" t="s">
        <v>4</v>
      </c>
      <c r="I1" t="s">
        <v>5</v>
      </c>
    </row>
    <row r="2" spans="1:11" x14ac:dyDescent="0.25">
      <c r="A2" s="1" t="s">
        <v>0</v>
      </c>
      <c r="B2" s="1" t="s">
        <v>2</v>
      </c>
      <c r="C2" s="1" t="s">
        <v>1</v>
      </c>
      <c r="E2" s="1" t="s">
        <v>0</v>
      </c>
      <c r="F2" s="1" t="s">
        <v>2</v>
      </c>
      <c r="G2" s="1" t="s">
        <v>1</v>
      </c>
      <c r="I2" s="1" t="s">
        <v>0</v>
      </c>
      <c r="J2" s="1" t="s">
        <v>2</v>
      </c>
      <c r="K2" s="1" t="s">
        <v>1</v>
      </c>
    </row>
    <row r="3" spans="1:11" x14ac:dyDescent="0.25">
      <c r="A3" s="2">
        <v>0</v>
      </c>
      <c r="B3" s="2">
        <v>4.8000000000000001E-2</v>
      </c>
      <c r="C3" s="2">
        <v>5.0999999999999997E-2</v>
      </c>
      <c r="E3" s="2">
        <v>0</v>
      </c>
      <c r="F3" s="2">
        <v>4.1000000000000002E-2</v>
      </c>
      <c r="G3" s="2">
        <v>4.2000000000000003E-2</v>
      </c>
      <c r="I3" s="2">
        <v>0</v>
      </c>
      <c r="J3" s="2">
        <v>4.5999999999999999E-2</v>
      </c>
      <c r="K3" s="2">
        <v>4.2999999999999997E-2</v>
      </c>
    </row>
    <row r="4" spans="1:11" x14ac:dyDescent="0.25">
      <c r="A4" s="3">
        <v>1</v>
      </c>
      <c r="B4" s="3">
        <v>8.3000000000000004E-2</v>
      </c>
      <c r="C4" s="3">
        <v>7.5999999999999998E-2</v>
      </c>
      <c r="E4" s="3">
        <v>1</v>
      </c>
      <c r="F4" s="3">
        <v>7.0999999999999994E-2</v>
      </c>
      <c r="G4" s="3">
        <v>7.0999999999999994E-2</v>
      </c>
      <c r="I4" s="3">
        <v>1</v>
      </c>
      <c r="J4" s="3">
        <v>9.1999999999999998E-2</v>
      </c>
      <c r="K4" s="3">
        <v>7.5999999999999998E-2</v>
      </c>
    </row>
    <row r="5" spans="1:11" x14ac:dyDescent="0.25">
      <c r="A5" s="3">
        <v>2</v>
      </c>
      <c r="B5" s="3">
        <v>0.22600000000000001</v>
      </c>
      <c r="C5" s="3">
        <v>0.17699999999999999</v>
      </c>
      <c r="E5" s="3">
        <v>2</v>
      </c>
      <c r="F5" s="3">
        <v>0.19600000000000001</v>
      </c>
      <c r="G5" s="3">
        <v>0.17699999999999999</v>
      </c>
      <c r="I5" s="3">
        <v>2</v>
      </c>
      <c r="J5" s="3">
        <v>0.25900000000000001</v>
      </c>
      <c r="K5" s="3">
        <v>0.186</v>
      </c>
    </row>
    <row r="6" spans="1:11" x14ac:dyDescent="0.25">
      <c r="A6" s="3">
        <v>3</v>
      </c>
      <c r="B6" s="3">
        <v>0.6</v>
      </c>
      <c r="C6" s="3">
        <v>0.47099999999999997</v>
      </c>
      <c r="E6" s="3">
        <v>3</v>
      </c>
      <c r="F6" s="3">
        <v>0.56899999999999995</v>
      </c>
      <c r="G6" s="3">
        <v>0.51200000000000001</v>
      </c>
      <c r="I6" s="3">
        <v>3</v>
      </c>
      <c r="J6" s="3">
        <v>0.63400000000000001</v>
      </c>
      <c r="K6" s="3">
        <v>0.47699999999999998</v>
      </c>
    </row>
    <row r="7" spans="1:11" x14ac:dyDescent="0.25">
      <c r="A7" s="3">
        <v>4</v>
      </c>
      <c r="B7" s="3">
        <v>1.51</v>
      </c>
      <c r="C7" s="3">
        <v>1.26</v>
      </c>
      <c r="E7" s="3">
        <v>4</v>
      </c>
      <c r="F7" s="3">
        <v>1.32</v>
      </c>
      <c r="G7" s="3">
        <v>1.03</v>
      </c>
      <c r="I7" s="3">
        <v>4</v>
      </c>
      <c r="J7" s="3">
        <v>1.71</v>
      </c>
      <c r="K7" s="3">
        <v>1.27</v>
      </c>
    </row>
    <row r="8" spans="1:11" x14ac:dyDescent="0.25">
      <c r="A8" s="3">
        <v>5</v>
      </c>
      <c r="B8" s="3">
        <v>2.62</v>
      </c>
      <c r="C8" s="3">
        <v>2.17</v>
      </c>
      <c r="E8" s="3">
        <v>5</v>
      </c>
      <c r="F8" s="3">
        <v>2.67</v>
      </c>
      <c r="G8" s="3">
        <v>1.81</v>
      </c>
      <c r="I8" s="3">
        <v>5</v>
      </c>
      <c r="J8" s="3">
        <v>2.5099999999999998</v>
      </c>
      <c r="K8" s="3">
        <v>1.87</v>
      </c>
    </row>
    <row r="9" spans="1:11" x14ac:dyDescent="0.25">
      <c r="A9" s="3">
        <v>6</v>
      </c>
      <c r="B9" s="3">
        <v>3.07</v>
      </c>
      <c r="C9" s="3">
        <v>2.1800000000000002</v>
      </c>
      <c r="E9" s="3">
        <v>6</v>
      </c>
      <c r="F9" s="3">
        <v>2.9</v>
      </c>
      <c r="G9" s="3">
        <v>2.61</v>
      </c>
      <c r="I9" s="3">
        <v>6</v>
      </c>
      <c r="J9" s="3">
        <v>3.04</v>
      </c>
      <c r="K9" s="3">
        <v>2.79</v>
      </c>
    </row>
    <row r="10" spans="1:11" x14ac:dyDescent="0.25">
      <c r="A10" s="3">
        <v>7</v>
      </c>
      <c r="B10" s="3">
        <v>3.06</v>
      </c>
      <c r="C10" s="3">
        <v>2.8</v>
      </c>
      <c r="E10" s="3">
        <v>7</v>
      </c>
      <c r="F10" s="3">
        <v>2.8</v>
      </c>
      <c r="G10" s="3">
        <v>2.76</v>
      </c>
      <c r="I10" s="3">
        <v>7</v>
      </c>
      <c r="J10" s="3">
        <v>3.16</v>
      </c>
      <c r="K10" s="3">
        <v>2.88</v>
      </c>
    </row>
    <row r="11" spans="1:11" x14ac:dyDescent="0.25">
      <c r="A11" s="4">
        <v>8</v>
      </c>
      <c r="B11" s="4">
        <v>2.7</v>
      </c>
      <c r="C11" s="4">
        <v>3.1</v>
      </c>
      <c r="E11" s="4">
        <v>8</v>
      </c>
      <c r="F11" s="4">
        <v>2.96</v>
      </c>
      <c r="G11" s="4">
        <v>2.8</v>
      </c>
      <c r="I11" s="4">
        <v>8</v>
      </c>
      <c r="J11" s="4">
        <v>3.05</v>
      </c>
      <c r="K11" s="4">
        <v>3.05</v>
      </c>
    </row>
    <row r="13" spans="1:11" x14ac:dyDescent="0.25">
      <c r="B13" t="s">
        <v>6</v>
      </c>
      <c r="E13" t="s">
        <v>7</v>
      </c>
    </row>
    <row r="14" spans="1:11" x14ac:dyDescent="0.25">
      <c r="A14" s="1" t="s">
        <v>0</v>
      </c>
      <c r="B14" s="2" t="s">
        <v>2</v>
      </c>
      <c r="C14" s="2" t="s">
        <v>1</v>
      </c>
      <c r="E14" s="1" t="s">
        <v>2</v>
      </c>
      <c r="F14" s="1" t="s">
        <v>1</v>
      </c>
    </row>
    <row r="15" spans="1:11" x14ac:dyDescent="0.25">
      <c r="A15" s="5">
        <v>0</v>
      </c>
      <c r="B15" s="5">
        <f>AVERAGE(B3,F3,J3)</f>
        <v>4.5000000000000005E-2</v>
      </c>
      <c r="C15" s="2">
        <f>AVERAGE(C3,G3,K3)</f>
        <v>4.5333333333333337E-2</v>
      </c>
      <c r="E15" s="2">
        <f>STDEV(B3,F3,J3)</f>
        <v>3.6055512754639887E-3</v>
      </c>
      <c r="F15" s="2">
        <f>STDEV(C3,G3,K3)</f>
        <v>4.9328828623162449E-3</v>
      </c>
    </row>
    <row r="16" spans="1:11" x14ac:dyDescent="0.25">
      <c r="A16" s="6">
        <v>1</v>
      </c>
      <c r="B16" s="6">
        <f t="shared" ref="B16:C16" si="0">AVERAGE(B4,F4,J4)</f>
        <v>8.2000000000000003E-2</v>
      </c>
      <c r="C16" s="3">
        <f t="shared" si="0"/>
        <v>7.4333333333333321E-2</v>
      </c>
      <c r="E16" s="3">
        <f t="shared" ref="E16:F16" si="1">STDEV(B4,F4,J4)</f>
        <v>1.0535653752852737E-2</v>
      </c>
      <c r="F16" s="3">
        <f t="shared" si="1"/>
        <v>2.8867513459481312E-3</v>
      </c>
    </row>
    <row r="17" spans="1:6" x14ac:dyDescent="0.25">
      <c r="A17" s="6">
        <v>2</v>
      </c>
      <c r="B17" s="6">
        <f t="shared" ref="B17:C17" si="2">AVERAGE(B5,F5,J5)</f>
        <v>0.22700000000000001</v>
      </c>
      <c r="C17" s="3">
        <f t="shared" si="2"/>
        <v>0.18000000000000002</v>
      </c>
      <c r="E17" s="3">
        <f t="shared" ref="E17:F17" si="3">STDEV(B5,F5,J5)</f>
        <v>3.1511902513177363E-2</v>
      </c>
      <c r="F17" s="3">
        <f t="shared" si="3"/>
        <v>5.1961524227066361E-3</v>
      </c>
    </row>
    <row r="18" spans="1:6" x14ac:dyDescent="0.25">
      <c r="A18" s="6">
        <v>3</v>
      </c>
      <c r="B18" s="6">
        <f t="shared" ref="B18:C18" si="4">AVERAGE(B6,F6,J6)</f>
        <v>0.60099999999999998</v>
      </c>
      <c r="C18" s="3">
        <f t="shared" si="4"/>
        <v>0.48666666666666664</v>
      </c>
      <c r="E18" s="3">
        <f t="shared" ref="E18:F18" si="5">STDEV(B6,F6,J6)</f>
        <v>3.2511536414017744E-2</v>
      </c>
      <c r="F18" s="3">
        <f t="shared" si="5"/>
        <v>2.2143471573656516E-2</v>
      </c>
    </row>
    <row r="19" spans="1:6" x14ac:dyDescent="0.25">
      <c r="A19" s="6">
        <v>4</v>
      </c>
      <c r="B19" s="6">
        <f t="shared" ref="B19:C19" si="6">AVERAGE(B7,F7,J7)</f>
        <v>1.5133333333333334</v>
      </c>
      <c r="C19" s="3">
        <f t="shared" si="6"/>
        <v>1.1866666666666668</v>
      </c>
      <c r="E19" s="3">
        <f t="shared" ref="E19:F19" si="7">STDEV(B7,F7,J7)</f>
        <v>0.19502136635080106</v>
      </c>
      <c r="F19" s="3">
        <f t="shared" si="7"/>
        <v>0.13576941236277534</v>
      </c>
    </row>
    <row r="20" spans="1:6" x14ac:dyDescent="0.25">
      <c r="A20" s="6">
        <v>5</v>
      </c>
      <c r="B20" s="6">
        <f t="shared" ref="B20:C20" si="8">AVERAGE(B8,F8,J8)</f>
        <v>2.6</v>
      </c>
      <c r="C20" s="3">
        <f t="shared" si="8"/>
        <v>1.95</v>
      </c>
      <c r="E20" s="3">
        <f t="shared" ref="E20:F20" si="9">STDEV(B8,F8,J8)</f>
        <v>8.1853527718724603E-2</v>
      </c>
      <c r="F20" s="3">
        <f t="shared" si="9"/>
        <v>0.19287301521985903</v>
      </c>
    </row>
    <row r="21" spans="1:6" x14ac:dyDescent="0.25">
      <c r="A21" s="6">
        <v>6</v>
      </c>
      <c r="B21" s="6">
        <f t="shared" ref="B21:C21" si="10">AVERAGE(B9,F9,J9)</f>
        <v>3.0033333333333334</v>
      </c>
      <c r="C21" s="3">
        <f t="shared" si="10"/>
        <v>2.5266666666666668</v>
      </c>
      <c r="E21" s="3">
        <f t="shared" ref="E21:F21" si="11">STDEV(B9,F9,J9)</f>
        <v>9.073771725877465E-2</v>
      </c>
      <c r="F21" s="3">
        <f t="shared" si="11"/>
        <v>0.31342197327776999</v>
      </c>
    </row>
    <row r="22" spans="1:6" x14ac:dyDescent="0.25">
      <c r="A22" s="6">
        <v>7</v>
      </c>
      <c r="B22" s="6">
        <f t="shared" ref="B22:C22" si="12">AVERAGE(B10,F10,J10)</f>
        <v>3.0066666666666664</v>
      </c>
      <c r="C22" s="3">
        <f t="shared" si="12"/>
        <v>2.813333333333333</v>
      </c>
      <c r="E22" s="3">
        <f t="shared" ref="E22:F22" si="13">STDEV(B10,F10,J10)</f>
        <v>0.18583146486355157</v>
      </c>
      <c r="F22" s="3">
        <f t="shared" si="13"/>
        <v>6.1101009266077921E-2</v>
      </c>
    </row>
    <row r="23" spans="1:6" x14ac:dyDescent="0.25">
      <c r="A23" s="7">
        <v>8</v>
      </c>
      <c r="B23" s="7">
        <f t="shared" ref="B23:C23" si="14">AVERAGE(B11,F11,J11)</f>
        <v>2.9033333333333338</v>
      </c>
      <c r="C23" s="4">
        <f t="shared" si="14"/>
        <v>2.9833333333333329</v>
      </c>
      <c r="E23" s="4">
        <f t="shared" ref="E23:F23" si="15">STDEV(B11,F11,J11)</f>
        <v>0.18175074506954098</v>
      </c>
      <c r="F23" s="4">
        <f t="shared" si="15"/>
        <v>0.160727512683216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2026-01-22T08:24:52Z</dcterms:created>
  <dcterms:modified xsi:type="dcterms:W3CDTF">2026-01-22T08:31:30Z</dcterms:modified>
</cp:coreProperties>
</file>