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eigene Paper\Sabrina MreB EzrA DivIVA morphotypes in infection\Virulence\raw data\"/>
    </mc:Choice>
  </mc:AlternateContent>
  <xr:revisionPtr revIDLastSave="0" documentId="8_{81D8FEBE-C0A2-4975-B22D-7C0457D62FA2}" xr6:coauthVersionLast="36" xr6:coauthVersionMax="36" xr10:uidLastSave="{00000000-0000-0000-0000-000000000000}"/>
  <bookViews>
    <workbookView xWindow="0" yWindow="0" windowWidth="28800" windowHeight="12705" xr2:uid="{F9ECE9F3-848A-4DB0-A18C-952AD226FCA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1" l="1"/>
  <c r="P4" i="1"/>
  <c r="Q4" i="1"/>
  <c r="R4" i="1"/>
  <c r="S4" i="1"/>
  <c r="O5" i="1"/>
  <c r="P5" i="1"/>
  <c r="Q5" i="1"/>
  <c r="R5" i="1"/>
  <c r="S5" i="1"/>
  <c r="O6" i="1"/>
  <c r="P6" i="1"/>
  <c r="Q6" i="1"/>
  <c r="R6" i="1"/>
  <c r="S6" i="1"/>
  <c r="O7" i="1"/>
  <c r="P7" i="1"/>
  <c r="Q7" i="1"/>
  <c r="R7" i="1"/>
  <c r="S7" i="1"/>
  <c r="O8" i="1"/>
  <c r="P8" i="1"/>
  <c r="Q8" i="1"/>
  <c r="R8" i="1"/>
  <c r="S8" i="1"/>
  <c r="O9" i="1"/>
  <c r="P9" i="1"/>
  <c r="Q9" i="1"/>
  <c r="R9" i="1"/>
  <c r="S9" i="1"/>
  <c r="O10" i="1"/>
  <c r="P10" i="1"/>
  <c r="Q10" i="1"/>
  <c r="R10" i="1"/>
  <c r="S10" i="1"/>
  <c r="O11" i="1"/>
  <c r="P11" i="1"/>
  <c r="Q11" i="1"/>
  <c r="R11" i="1"/>
  <c r="S11" i="1"/>
  <c r="P3" i="1"/>
  <c r="Q3" i="1"/>
  <c r="R3" i="1"/>
  <c r="S3" i="1"/>
  <c r="O3" i="1"/>
  <c r="I4" i="1"/>
  <c r="J4" i="1"/>
  <c r="K4" i="1"/>
  <c r="L4" i="1"/>
  <c r="M4" i="1"/>
  <c r="I5" i="1"/>
  <c r="J5" i="1"/>
  <c r="K5" i="1"/>
  <c r="L5" i="1"/>
  <c r="M5" i="1"/>
  <c r="I6" i="1"/>
  <c r="J6" i="1"/>
  <c r="K6" i="1"/>
  <c r="L6" i="1"/>
  <c r="M6" i="1"/>
  <c r="I7" i="1"/>
  <c r="J7" i="1"/>
  <c r="K7" i="1"/>
  <c r="L7" i="1"/>
  <c r="M7" i="1"/>
  <c r="I8" i="1"/>
  <c r="J8" i="1"/>
  <c r="K8" i="1"/>
  <c r="L8" i="1"/>
  <c r="M8" i="1"/>
  <c r="I9" i="1"/>
  <c r="J9" i="1"/>
  <c r="K9" i="1"/>
  <c r="L9" i="1"/>
  <c r="M9" i="1"/>
  <c r="I10" i="1"/>
  <c r="J10" i="1"/>
  <c r="K10" i="1"/>
  <c r="L10" i="1"/>
  <c r="M10" i="1"/>
  <c r="I11" i="1"/>
  <c r="J11" i="1"/>
  <c r="K11" i="1"/>
  <c r="L11" i="1"/>
  <c r="M11" i="1"/>
  <c r="J3" i="1"/>
  <c r="K3" i="1"/>
  <c r="L3" i="1"/>
  <c r="M3" i="1"/>
  <c r="I3" i="1"/>
</calcChain>
</file>

<file path=xl/sharedStrings.xml><?xml version="1.0" encoding="utf-8"?>
<sst xmlns="http://schemas.openxmlformats.org/spreadsheetml/2006/main" count="34" uniqueCount="11">
  <si>
    <t>i</t>
  </si>
  <si>
    <t>t [h]</t>
  </si>
  <si>
    <t>ii</t>
  </si>
  <si>
    <t>iii</t>
  </si>
  <si>
    <t>avg</t>
  </si>
  <si>
    <t>s</t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</si>
  <si>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divIVA imreB-IPTG</t>
    </r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</si>
  <si>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divIVA imreB+IPTG</t>
    </r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</si>
  <si>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divIVA iezrA-IPTG</t>
    </r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</si>
  <si>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divIVA iezrA+IPTG</t>
    </r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</si>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</sst>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Tabelle1!$I$2</c:f>
              <c:strCache>
                <c:ptCount val="1"/>
                <c:pt idx="0">
                  <c:v>wt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Tabelle1!$O$3:$O$11</c:f>
                <c:numCache>
                  <c:formatCode>General</c:formatCode>
                  <c:ptCount val="9"/>
                  <c:pt idx="0">
                    <c:v>8.4983747219407389E-18</c:v>
                  </c:pt>
                  <c:pt idx="1">
                    <c:v>3.5118845842842497E-3</c:v>
                  </c:pt>
                  <c:pt idx="2">
                    <c:v>2.968725877094977E-2</c:v>
                  </c:pt>
                  <c:pt idx="3">
                    <c:v>8.606392972668632E-2</c:v>
                  </c:pt>
                  <c:pt idx="4">
                    <c:v>0.15620499351813311</c:v>
                  </c:pt>
                  <c:pt idx="5">
                    <c:v>0.18717193521821948</c:v>
                  </c:pt>
                  <c:pt idx="6">
                    <c:v>0.13868429375143146</c:v>
                  </c:pt>
                  <c:pt idx="7">
                    <c:v>0.2718455443813636</c:v>
                  </c:pt>
                  <c:pt idx="8">
                    <c:v>0.30610455730027925</c:v>
                  </c:pt>
                </c:numCache>
              </c:numRef>
            </c:plus>
            <c:minus>
              <c:numRef>
                <c:f>Tabelle1!$O$3:$O$11</c:f>
                <c:numCache>
                  <c:formatCode>General</c:formatCode>
                  <c:ptCount val="9"/>
                  <c:pt idx="0">
                    <c:v>8.4983747219407389E-18</c:v>
                  </c:pt>
                  <c:pt idx="1">
                    <c:v>3.5118845842842497E-3</c:v>
                  </c:pt>
                  <c:pt idx="2">
                    <c:v>2.968725877094977E-2</c:v>
                  </c:pt>
                  <c:pt idx="3">
                    <c:v>8.606392972668632E-2</c:v>
                  </c:pt>
                  <c:pt idx="4">
                    <c:v>0.15620499351813311</c:v>
                  </c:pt>
                  <c:pt idx="5">
                    <c:v>0.18717193521821948</c:v>
                  </c:pt>
                  <c:pt idx="6">
                    <c:v>0.13868429375143146</c:v>
                  </c:pt>
                  <c:pt idx="7">
                    <c:v>0.2718455443813636</c:v>
                  </c:pt>
                  <c:pt idx="8">
                    <c:v>0.30610455730027925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Tabelle1!$H$3:$H$11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Tabelle1!$I$3:$I$11</c:f>
              <c:numCache>
                <c:formatCode>General</c:formatCode>
                <c:ptCount val="9"/>
                <c:pt idx="0">
                  <c:v>5.000000000000001E-2</c:v>
                </c:pt>
                <c:pt idx="1">
                  <c:v>9.3333333333333338E-2</c:v>
                </c:pt>
                <c:pt idx="2">
                  <c:v>0.24533333333333332</c:v>
                </c:pt>
                <c:pt idx="3">
                  <c:v>0.71099999999999997</c:v>
                </c:pt>
                <c:pt idx="4">
                  <c:v>1.57</c:v>
                </c:pt>
                <c:pt idx="5">
                  <c:v>2.5533333333333332</c:v>
                </c:pt>
                <c:pt idx="6">
                  <c:v>3.1366666666666667</c:v>
                </c:pt>
                <c:pt idx="7">
                  <c:v>3.23</c:v>
                </c:pt>
                <c:pt idx="8">
                  <c:v>3.31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4F-4FCF-A74D-F06F89C43EE1}"/>
            </c:ext>
          </c:extLst>
        </c:ser>
        <c:ser>
          <c:idx val="1"/>
          <c:order val="1"/>
          <c:tx>
            <c:strRef>
              <c:f>Tabelle1!$J$2</c:f>
              <c:strCache>
                <c:ptCount val="1"/>
                <c:pt idx="0">
                  <c:v>ΔdivIVA imreB-IPTG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Tabelle1!$P$3:$P$11</c:f>
                <c:numCache>
                  <c:formatCode>General</c:formatCode>
                  <c:ptCount val="9"/>
                  <c:pt idx="0">
                    <c:v>8.4983747219407389E-18</c:v>
                  </c:pt>
                  <c:pt idx="1">
                    <c:v>1.0000000000000009E-3</c:v>
                  </c:pt>
                  <c:pt idx="2">
                    <c:v>2.800595174839338E-2</c:v>
                  </c:pt>
                  <c:pt idx="3">
                    <c:v>9.7295083808655508E-2</c:v>
                  </c:pt>
                  <c:pt idx="4">
                    <c:v>0.21548395145191876</c:v>
                  </c:pt>
                  <c:pt idx="5">
                    <c:v>0.24006943440041115</c:v>
                  </c:pt>
                  <c:pt idx="6">
                    <c:v>0.27098585448936879</c:v>
                  </c:pt>
                  <c:pt idx="7">
                    <c:v>0.24583192089989711</c:v>
                  </c:pt>
                  <c:pt idx="8">
                    <c:v>0.12999999999999992</c:v>
                  </c:pt>
                </c:numCache>
              </c:numRef>
            </c:plus>
            <c:minus>
              <c:numRef>
                <c:f>Tabelle1!$P$3:$P$11</c:f>
                <c:numCache>
                  <c:formatCode>General</c:formatCode>
                  <c:ptCount val="9"/>
                  <c:pt idx="0">
                    <c:v>8.4983747219407389E-18</c:v>
                  </c:pt>
                  <c:pt idx="1">
                    <c:v>1.0000000000000009E-3</c:v>
                  </c:pt>
                  <c:pt idx="2">
                    <c:v>2.800595174839338E-2</c:v>
                  </c:pt>
                  <c:pt idx="3">
                    <c:v>9.7295083808655508E-2</c:v>
                  </c:pt>
                  <c:pt idx="4">
                    <c:v>0.21548395145191876</c:v>
                  </c:pt>
                  <c:pt idx="5">
                    <c:v>0.24006943440041115</c:v>
                  </c:pt>
                  <c:pt idx="6">
                    <c:v>0.27098585448936879</c:v>
                  </c:pt>
                  <c:pt idx="7">
                    <c:v>0.24583192089989711</c:v>
                  </c:pt>
                  <c:pt idx="8">
                    <c:v>0.12999999999999992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Tabelle1!$H$3:$H$11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Tabelle1!$J$3:$J$11</c:f>
              <c:numCache>
                <c:formatCode>General</c:formatCode>
                <c:ptCount val="9"/>
                <c:pt idx="0">
                  <c:v>5.000000000000001E-2</c:v>
                </c:pt>
                <c:pt idx="1">
                  <c:v>0.08</c:v>
                </c:pt>
                <c:pt idx="2">
                  <c:v>0.18733333333333332</c:v>
                </c:pt>
                <c:pt idx="3">
                  <c:v>0.51733333333333331</c:v>
                </c:pt>
                <c:pt idx="4">
                  <c:v>1.3233333333333335</c:v>
                </c:pt>
                <c:pt idx="5">
                  <c:v>2.0666666666666664</c:v>
                </c:pt>
                <c:pt idx="6">
                  <c:v>2.3366666666666669</c:v>
                </c:pt>
                <c:pt idx="7">
                  <c:v>2.313333333333333</c:v>
                </c:pt>
                <c:pt idx="8">
                  <c:v>2.23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4F-4FCF-A74D-F06F89C43EE1}"/>
            </c:ext>
          </c:extLst>
        </c:ser>
        <c:ser>
          <c:idx val="2"/>
          <c:order val="2"/>
          <c:tx>
            <c:strRef>
              <c:f>Tabelle1!$K$2</c:f>
              <c:strCache>
                <c:ptCount val="1"/>
                <c:pt idx="0">
                  <c:v>ΔdivIVA imreB+IPTG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Tabelle1!$Q$3:$Q$11</c:f>
                <c:numCache>
                  <c:formatCode>General</c:formatCode>
                  <c:ptCount val="9"/>
                  <c:pt idx="0">
                    <c:v>8.4983747219407389E-18</c:v>
                  </c:pt>
                  <c:pt idx="1">
                    <c:v>4.0414518843273836E-3</c:v>
                  </c:pt>
                  <c:pt idx="2">
                    <c:v>2.8676354952004299E-2</c:v>
                  </c:pt>
                  <c:pt idx="3">
                    <c:v>9.8185199156152661E-2</c:v>
                  </c:pt>
                  <c:pt idx="4">
                    <c:v>0.24637369989509877</c:v>
                  </c:pt>
                  <c:pt idx="5">
                    <c:v>0.390042732701601</c:v>
                  </c:pt>
                  <c:pt idx="6">
                    <c:v>0.14742229591663975</c:v>
                  </c:pt>
                  <c:pt idx="7">
                    <c:v>0.14730919862656244</c:v>
                  </c:pt>
                  <c:pt idx="8">
                    <c:v>5.5075705472861163E-2</c:v>
                  </c:pt>
                </c:numCache>
              </c:numRef>
            </c:plus>
            <c:minus>
              <c:numRef>
                <c:f>Tabelle1!$Q$3:$Q$11</c:f>
                <c:numCache>
                  <c:formatCode>General</c:formatCode>
                  <c:ptCount val="9"/>
                  <c:pt idx="0">
                    <c:v>8.4983747219407389E-18</c:v>
                  </c:pt>
                  <c:pt idx="1">
                    <c:v>4.0414518843273836E-3</c:v>
                  </c:pt>
                  <c:pt idx="2">
                    <c:v>2.8676354952004299E-2</c:v>
                  </c:pt>
                  <c:pt idx="3">
                    <c:v>9.8185199156152661E-2</c:v>
                  </c:pt>
                  <c:pt idx="4">
                    <c:v>0.24637369989509877</c:v>
                  </c:pt>
                  <c:pt idx="5">
                    <c:v>0.390042732701601</c:v>
                  </c:pt>
                  <c:pt idx="6">
                    <c:v>0.14742229591663975</c:v>
                  </c:pt>
                  <c:pt idx="7">
                    <c:v>0.14730919862656244</c:v>
                  </c:pt>
                  <c:pt idx="8">
                    <c:v>5.5075705472861163E-2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Tabelle1!$H$3:$H$11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Tabelle1!$K$3:$K$11</c:f>
              <c:numCache>
                <c:formatCode>General</c:formatCode>
                <c:ptCount val="9"/>
                <c:pt idx="0">
                  <c:v>5.000000000000001E-2</c:v>
                </c:pt>
                <c:pt idx="1">
                  <c:v>7.8333333333333324E-2</c:v>
                </c:pt>
                <c:pt idx="2">
                  <c:v>0.18466666666666665</c:v>
                </c:pt>
                <c:pt idx="3">
                  <c:v>0.48533333333333334</c:v>
                </c:pt>
                <c:pt idx="4">
                  <c:v>1.18</c:v>
                </c:pt>
                <c:pt idx="5">
                  <c:v>2.2233333333333332</c:v>
                </c:pt>
                <c:pt idx="6">
                  <c:v>3.2333333333333338</c:v>
                </c:pt>
                <c:pt idx="7">
                  <c:v>3.9500000000000006</c:v>
                </c:pt>
                <c:pt idx="8">
                  <c:v>4.1366666666666667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4F-4FCF-A74D-F06F89C43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119176"/>
        <c:axId val="655124096"/>
      </c:scatterChart>
      <c:valAx>
        <c:axId val="655119176"/>
        <c:scaling>
          <c:orientation val="minMax"/>
          <c:max val="10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655124096"/>
        <c:crossesAt val="1.0000000000000002E-2"/>
        <c:crossBetween val="midCat"/>
        <c:majorUnit val="2"/>
        <c:minorUnit val="1"/>
      </c:valAx>
      <c:valAx>
        <c:axId val="655124096"/>
        <c:scaling>
          <c:logBase val="10"/>
          <c:orientation val="minMax"/>
        </c:scaling>
        <c:delete val="0"/>
        <c:axPos val="l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655119176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Tabelle1!$I$2</c:f>
              <c:strCache>
                <c:ptCount val="1"/>
                <c:pt idx="0">
                  <c:v>wt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Tabelle1!$O$3:$O$11</c:f>
                <c:numCache>
                  <c:formatCode>General</c:formatCode>
                  <c:ptCount val="9"/>
                  <c:pt idx="0">
                    <c:v>8.4983747219407389E-18</c:v>
                  </c:pt>
                  <c:pt idx="1">
                    <c:v>3.5118845842842497E-3</c:v>
                  </c:pt>
                  <c:pt idx="2">
                    <c:v>2.968725877094977E-2</c:v>
                  </c:pt>
                  <c:pt idx="3">
                    <c:v>8.606392972668632E-2</c:v>
                  </c:pt>
                  <c:pt idx="4">
                    <c:v>0.15620499351813311</c:v>
                  </c:pt>
                  <c:pt idx="5">
                    <c:v>0.18717193521821948</c:v>
                  </c:pt>
                  <c:pt idx="6">
                    <c:v>0.13868429375143146</c:v>
                  </c:pt>
                  <c:pt idx="7">
                    <c:v>0.2718455443813636</c:v>
                  </c:pt>
                  <c:pt idx="8">
                    <c:v>0.30610455730027925</c:v>
                  </c:pt>
                </c:numCache>
              </c:numRef>
            </c:plus>
            <c:minus>
              <c:numRef>
                <c:f>Tabelle1!$O$3:$O$11</c:f>
                <c:numCache>
                  <c:formatCode>General</c:formatCode>
                  <c:ptCount val="9"/>
                  <c:pt idx="0">
                    <c:v>8.4983747219407389E-18</c:v>
                  </c:pt>
                  <c:pt idx="1">
                    <c:v>3.5118845842842497E-3</c:v>
                  </c:pt>
                  <c:pt idx="2">
                    <c:v>2.968725877094977E-2</c:v>
                  </c:pt>
                  <c:pt idx="3">
                    <c:v>8.606392972668632E-2</c:v>
                  </c:pt>
                  <c:pt idx="4">
                    <c:v>0.15620499351813311</c:v>
                  </c:pt>
                  <c:pt idx="5">
                    <c:v>0.18717193521821948</c:v>
                  </c:pt>
                  <c:pt idx="6">
                    <c:v>0.13868429375143146</c:v>
                  </c:pt>
                  <c:pt idx="7">
                    <c:v>0.2718455443813636</c:v>
                  </c:pt>
                  <c:pt idx="8">
                    <c:v>0.30610455730027925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Tabelle1!$H$3:$H$11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Tabelle1!$I$3:$I$11</c:f>
              <c:numCache>
                <c:formatCode>General</c:formatCode>
                <c:ptCount val="9"/>
                <c:pt idx="0">
                  <c:v>5.000000000000001E-2</c:v>
                </c:pt>
                <c:pt idx="1">
                  <c:v>9.3333333333333338E-2</c:v>
                </c:pt>
                <c:pt idx="2">
                  <c:v>0.24533333333333332</c:v>
                </c:pt>
                <c:pt idx="3">
                  <c:v>0.71099999999999997</c:v>
                </c:pt>
                <c:pt idx="4">
                  <c:v>1.57</c:v>
                </c:pt>
                <c:pt idx="5">
                  <c:v>2.5533333333333332</c:v>
                </c:pt>
                <c:pt idx="6">
                  <c:v>3.1366666666666667</c:v>
                </c:pt>
                <c:pt idx="7">
                  <c:v>3.23</c:v>
                </c:pt>
                <c:pt idx="8">
                  <c:v>3.31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85-4AD0-AA25-8B9C4A9F62BE}"/>
            </c:ext>
          </c:extLst>
        </c:ser>
        <c:ser>
          <c:idx val="3"/>
          <c:order val="1"/>
          <c:tx>
            <c:strRef>
              <c:f>Tabelle1!$L$2</c:f>
              <c:strCache>
                <c:ptCount val="1"/>
                <c:pt idx="0">
                  <c:v>ΔdivIVA iezrA-IPTG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Tabelle1!$R$3:$R$11</c:f>
                <c:numCache>
                  <c:formatCode>General</c:formatCode>
                  <c:ptCount val="9"/>
                  <c:pt idx="0">
                    <c:v>8.4983747219407389E-18</c:v>
                  </c:pt>
                  <c:pt idx="1">
                    <c:v>5.5677643628300206E-3</c:v>
                  </c:pt>
                  <c:pt idx="2">
                    <c:v>3.8656607887052552E-2</c:v>
                  </c:pt>
                  <c:pt idx="3">
                    <c:v>0.10337794735822531</c:v>
                  </c:pt>
                  <c:pt idx="4">
                    <c:v>0.19604421270043507</c:v>
                  </c:pt>
                  <c:pt idx="5">
                    <c:v>0.25540817005987304</c:v>
                  </c:pt>
                  <c:pt idx="6">
                    <c:v>0.26689573494781305</c:v>
                  </c:pt>
                  <c:pt idx="7">
                    <c:v>0.26633312473917609</c:v>
                  </c:pt>
                  <c:pt idx="8">
                    <c:v>0.30664855018951814</c:v>
                  </c:pt>
                </c:numCache>
              </c:numRef>
            </c:plus>
            <c:minus>
              <c:numRef>
                <c:f>Tabelle1!$R$3:$R$11</c:f>
                <c:numCache>
                  <c:formatCode>General</c:formatCode>
                  <c:ptCount val="9"/>
                  <c:pt idx="0">
                    <c:v>8.4983747219407389E-18</c:v>
                  </c:pt>
                  <c:pt idx="1">
                    <c:v>5.5677643628300206E-3</c:v>
                  </c:pt>
                  <c:pt idx="2">
                    <c:v>3.8656607887052552E-2</c:v>
                  </c:pt>
                  <c:pt idx="3">
                    <c:v>0.10337794735822531</c:v>
                  </c:pt>
                  <c:pt idx="4">
                    <c:v>0.19604421270043507</c:v>
                  </c:pt>
                  <c:pt idx="5">
                    <c:v>0.25540817005987304</c:v>
                  </c:pt>
                  <c:pt idx="6">
                    <c:v>0.26689573494781305</c:v>
                  </c:pt>
                  <c:pt idx="7">
                    <c:v>0.26633312473917609</c:v>
                  </c:pt>
                  <c:pt idx="8">
                    <c:v>0.30664855018951814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Tabelle1!$H$3:$H$11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Tabelle1!$L$3:$L$11</c:f>
              <c:numCache>
                <c:formatCode>General</c:formatCode>
                <c:ptCount val="9"/>
                <c:pt idx="0">
                  <c:v>5.000000000000001E-2</c:v>
                </c:pt>
                <c:pt idx="1">
                  <c:v>7.2000000000000008E-2</c:v>
                </c:pt>
                <c:pt idx="2">
                  <c:v>0.15766666666666668</c:v>
                </c:pt>
                <c:pt idx="3">
                  <c:v>0.36899999999999999</c:v>
                </c:pt>
                <c:pt idx="4">
                  <c:v>0.74333333333333329</c:v>
                </c:pt>
                <c:pt idx="5">
                  <c:v>1.0666666666666667</c:v>
                </c:pt>
                <c:pt idx="6">
                  <c:v>1.1133333333333333</c:v>
                </c:pt>
                <c:pt idx="7">
                  <c:v>1.0366666666666666</c:v>
                </c:pt>
                <c:pt idx="8">
                  <c:v>0.90333333333333332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85-4AD0-AA25-8B9C4A9F62BE}"/>
            </c:ext>
          </c:extLst>
        </c:ser>
        <c:ser>
          <c:idx val="4"/>
          <c:order val="2"/>
          <c:tx>
            <c:strRef>
              <c:f>Tabelle1!$M$2</c:f>
              <c:strCache>
                <c:ptCount val="1"/>
                <c:pt idx="0">
                  <c:v>ΔdivIVA iezrA+IPTG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Tabelle1!$S$3:$S$11</c:f>
                <c:numCache>
                  <c:formatCode>General</c:formatCode>
                  <c:ptCount val="9"/>
                  <c:pt idx="0">
                    <c:v>8.4983747219407389E-18</c:v>
                  </c:pt>
                  <c:pt idx="1">
                    <c:v>6.3508529610858807E-3</c:v>
                  </c:pt>
                  <c:pt idx="2">
                    <c:v>3.4268547289509163E-2</c:v>
                  </c:pt>
                  <c:pt idx="3">
                    <c:v>0.10042576030746973</c:v>
                  </c:pt>
                  <c:pt idx="4">
                    <c:v>0.23065125189341573</c:v>
                  </c:pt>
                  <c:pt idx="5">
                    <c:v>0.43092922852830456</c:v>
                  </c:pt>
                  <c:pt idx="6">
                    <c:v>0.31085902485424677</c:v>
                  </c:pt>
                  <c:pt idx="7">
                    <c:v>0.13316656236958774</c:v>
                  </c:pt>
                  <c:pt idx="8">
                    <c:v>5.2915026221291857E-2</c:v>
                  </c:pt>
                </c:numCache>
              </c:numRef>
            </c:plus>
            <c:minus>
              <c:numRef>
                <c:f>Tabelle1!$S$3:$S$11</c:f>
                <c:numCache>
                  <c:formatCode>General</c:formatCode>
                  <c:ptCount val="9"/>
                  <c:pt idx="0">
                    <c:v>8.4983747219407389E-18</c:v>
                  </c:pt>
                  <c:pt idx="1">
                    <c:v>6.3508529610858807E-3</c:v>
                  </c:pt>
                  <c:pt idx="2">
                    <c:v>3.4268547289509163E-2</c:v>
                  </c:pt>
                  <c:pt idx="3">
                    <c:v>0.10042576030746973</c:v>
                  </c:pt>
                  <c:pt idx="4">
                    <c:v>0.23065125189341573</c:v>
                  </c:pt>
                  <c:pt idx="5">
                    <c:v>0.43092922852830456</c:v>
                  </c:pt>
                  <c:pt idx="6">
                    <c:v>0.31085902485424677</c:v>
                  </c:pt>
                  <c:pt idx="7">
                    <c:v>0.13316656236958774</c:v>
                  </c:pt>
                  <c:pt idx="8">
                    <c:v>5.2915026221291857E-2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Tabelle1!$H$3:$H$11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Tabelle1!$M$3:$M$11</c:f>
              <c:numCache>
                <c:formatCode>General</c:formatCode>
                <c:ptCount val="9"/>
                <c:pt idx="0">
                  <c:v>5.000000000000001E-2</c:v>
                </c:pt>
                <c:pt idx="1">
                  <c:v>7.0666666666666669E-2</c:v>
                </c:pt>
                <c:pt idx="2">
                  <c:v>0.15666666666666668</c:v>
                </c:pt>
                <c:pt idx="3">
                  <c:v>0.37333333333333329</c:v>
                </c:pt>
                <c:pt idx="4">
                  <c:v>0.87000000000000011</c:v>
                </c:pt>
                <c:pt idx="5">
                  <c:v>1.76</c:v>
                </c:pt>
                <c:pt idx="6">
                  <c:v>2.7666666666666671</c:v>
                </c:pt>
                <c:pt idx="7">
                  <c:v>3.6233333333333335</c:v>
                </c:pt>
                <c:pt idx="8">
                  <c:v>4.0100000000000007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385-4AD0-AA25-8B9C4A9F6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119176"/>
        <c:axId val="655124096"/>
      </c:scatterChart>
      <c:valAx>
        <c:axId val="655119176"/>
        <c:scaling>
          <c:orientation val="minMax"/>
          <c:max val="10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655124096"/>
        <c:crossesAt val="1.0000000000000002E-2"/>
        <c:crossBetween val="midCat"/>
        <c:majorUnit val="2"/>
        <c:minorUnit val="1"/>
      </c:valAx>
      <c:valAx>
        <c:axId val="655124096"/>
        <c:scaling>
          <c:logBase val="10"/>
          <c:orientation val="minMax"/>
        </c:scaling>
        <c:delete val="0"/>
        <c:axPos val="l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655119176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1732</xdr:colOff>
      <xdr:row>11</xdr:row>
      <xdr:rowOff>168853</xdr:rowOff>
    </xdr:from>
    <xdr:to>
      <xdr:col>11</xdr:col>
      <xdr:colOff>313459</xdr:colOff>
      <xdr:row>26</xdr:row>
      <xdr:rowOff>54553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5791E41-E102-43B1-9AD9-E45C01655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675409</xdr:colOff>
      <xdr:row>11</xdr:row>
      <xdr:rowOff>162641</xdr:rowOff>
    </xdr:from>
    <xdr:to>
      <xdr:col>15</xdr:col>
      <xdr:colOff>654627</xdr:colOff>
      <xdr:row>26</xdr:row>
      <xdr:rowOff>48341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A3C87DE0-319F-434F-B242-BBE017FE9B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23CE-0DB9-43DB-BAFA-D55DF6A4058B}">
  <dimension ref="A1:S35"/>
  <sheetViews>
    <sheetView tabSelected="1" zoomScale="85" zoomScaleNormal="85" workbookViewId="0">
      <selection activeCell="S3" sqref="S3:S11"/>
    </sheetView>
  </sheetViews>
  <sheetFormatPr baseColWidth="10" defaultRowHeight="15" x14ac:dyDescent="0.25"/>
  <cols>
    <col min="1" max="1" width="5.5703125" bestFit="1" customWidth="1"/>
    <col min="2" max="2" width="8.140625" bestFit="1" customWidth="1"/>
    <col min="3" max="3" width="20.85546875" bestFit="1" customWidth="1"/>
    <col min="4" max="4" width="21.42578125" bestFit="1" customWidth="1"/>
    <col min="5" max="5" width="20.42578125" bestFit="1" customWidth="1"/>
    <col min="6" max="6" width="20.7109375" bestFit="1" customWidth="1"/>
    <col min="8" max="8" width="5.5703125" bestFit="1" customWidth="1"/>
    <col min="9" max="9" width="16" bestFit="1" customWidth="1"/>
    <col min="10" max="10" width="20.85546875" bestFit="1" customWidth="1"/>
    <col min="11" max="11" width="21.42578125" bestFit="1" customWidth="1"/>
    <col min="12" max="12" width="20.42578125" bestFit="1" customWidth="1"/>
    <col min="13" max="13" width="20.7109375" bestFit="1" customWidth="1"/>
    <col min="15" max="15" width="16" bestFit="1" customWidth="1"/>
    <col min="16" max="16" width="20.85546875" bestFit="1" customWidth="1"/>
    <col min="17" max="17" width="21.42578125" bestFit="1" customWidth="1"/>
    <col min="18" max="18" width="20.42578125" bestFit="1" customWidth="1"/>
    <col min="19" max="19" width="20.7109375" bestFit="1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H1" s="1" t="s">
        <v>4</v>
      </c>
      <c r="I1" s="1"/>
      <c r="J1" s="1"/>
      <c r="K1" s="1"/>
      <c r="L1" s="1"/>
      <c r="M1" s="1"/>
      <c r="O1" s="1" t="s">
        <v>5</v>
      </c>
      <c r="P1" s="1"/>
      <c r="Q1" s="1"/>
      <c r="R1" s="1"/>
      <c r="S1" s="1"/>
    </row>
    <row r="2" spans="1:19" x14ac:dyDescent="0.25">
      <c r="A2" s="1" t="s">
        <v>1</v>
      </c>
      <c r="B2" s="1" t="s">
        <v>10</v>
      </c>
      <c r="C2" s="1" t="s">
        <v>6</v>
      </c>
      <c r="D2" s="1" t="s">
        <v>7</v>
      </c>
      <c r="E2" s="1" t="s">
        <v>8</v>
      </c>
      <c r="F2" s="1" t="s">
        <v>9</v>
      </c>
      <c r="H2" s="1" t="s">
        <v>1</v>
      </c>
      <c r="I2" s="1" t="s">
        <v>10</v>
      </c>
      <c r="J2" s="1" t="s">
        <v>6</v>
      </c>
      <c r="K2" s="1" t="s">
        <v>7</v>
      </c>
      <c r="L2" s="1" t="s">
        <v>8</v>
      </c>
      <c r="M2" s="1" t="s">
        <v>9</v>
      </c>
      <c r="O2" s="1" t="s">
        <v>10</v>
      </c>
      <c r="P2" s="1" t="s">
        <v>6</v>
      </c>
      <c r="Q2" s="1" t="s">
        <v>7</v>
      </c>
      <c r="R2" s="1" t="s">
        <v>8</v>
      </c>
      <c r="S2" s="1" t="s">
        <v>9</v>
      </c>
    </row>
    <row r="3" spans="1:19" x14ac:dyDescent="0.25">
      <c r="A3" s="2">
        <v>0</v>
      </c>
      <c r="B3" s="2">
        <v>0.05</v>
      </c>
      <c r="C3" s="2">
        <v>0.05</v>
      </c>
      <c r="D3" s="2">
        <v>0.05</v>
      </c>
      <c r="E3" s="2">
        <v>0.05</v>
      </c>
      <c r="F3" s="2">
        <v>0.05</v>
      </c>
      <c r="H3" s="2">
        <v>0</v>
      </c>
      <c r="I3" s="2">
        <f>AVERAGE(B3,B15,B27)</f>
        <v>5.000000000000001E-2</v>
      </c>
      <c r="J3" s="2">
        <f t="shared" ref="J3:M3" si="0">AVERAGE(C3,C15,C27)</f>
        <v>5.000000000000001E-2</v>
      </c>
      <c r="K3" s="2">
        <f t="shared" si="0"/>
        <v>5.000000000000001E-2</v>
      </c>
      <c r="L3" s="2">
        <f t="shared" si="0"/>
        <v>5.000000000000001E-2</v>
      </c>
      <c r="M3" s="2">
        <f t="shared" si="0"/>
        <v>5.000000000000001E-2</v>
      </c>
      <c r="O3" s="2">
        <f>STDEV(B3,B15,B27)</f>
        <v>8.4983747219407389E-18</v>
      </c>
      <c r="P3" s="2">
        <f t="shared" ref="P3:S3" si="1">STDEV(C3,C15,C27)</f>
        <v>8.4983747219407389E-18</v>
      </c>
      <c r="Q3" s="2">
        <f t="shared" si="1"/>
        <v>8.4983747219407389E-18</v>
      </c>
      <c r="R3" s="2">
        <f t="shared" si="1"/>
        <v>8.4983747219407389E-18</v>
      </c>
      <c r="S3" s="2">
        <f t="shared" si="1"/>
        <v>8.4983747219407389E-18</v>
      </c>
    </row>
    <row r="4" spans="1:19" x14ac:dyDescent="0.25">
      <c r="A4" s="3">
        <v>1</v>
      </c>
      <c r="B4" s="3">
        <v>9.2999999999999999E-2</v>
      </c>
      <c r="C4" s="3">
        <v>7.9000000000000001E-2</v>
      </c>
      <c r="D4" s="3">
        <v>7.9000000000000001E-2</v>
      </c>
      <c r="E4" s="3">
        <v>7.0999999999999994E-2</v>
      </c>
      <c r="F4" s="3">
        <v>6.7000000000000004E-2</v>
      </c>
      <c r="H4" s="3">
        <v>1</v>
      </c>
      <c r="I4" s="3">
        <f t="shared" ref="I4:I11" si="2">AVERAGE(B4,B16,B28)</f>
        <v>9.3333333333333338E-2</v>
      </c>
      <c r="J4" s="3">
        <f t="shared" ref="J4:J11" si="3">AVERAGE(C4,C16,C28)</f>
        <v>0.08</v>
      </c>
      <c r="K4" s="3">
        <f t="shared" ref="K4:K11" si="4">AVERAGE(D4,D16,D28)</f>
        <v>7.8333333333333324E-2</v>
      </c>
      <c r="L4" s="3">
        <f t="shared" ref="L4:L11" si="5">AVERAGE(E4,E16,E28)</f>
        <v>7.2000000000000008E-2</v>
      </c>
      <c r="M4" s="3">
        <f t="shared" ref="M4:M11" si="6">AVERAGE(F4,F16,F28)</f>
        <v>7.0666666666666669E-2</v>
      </c>
      <c r="O4" s="3">
        <f t="shared" ref="O4:O11" si="7">STDEV(B4,B16,B28)</f>
        <v>3.5118845842842497E-3</v>
      </c>
      <c r="P4" s="3">
        <f t="shared" ref="P4:P11" si="8">STDEV(C4,C16,C28)</f>
        <v>1.0000000000000009E-3</v>
      </c>
      <c r="Q4" s="3">
        <f t="shared" ref="Q4:Q11" si="9">STDEV(D4,D16,D28)</f>
        <v>4.0414518843273836E-3</v>
      </c>
      <c r="R4" s="3">
        <f t="shared" ref="R4:R11" si="10">STDEV(E4,E16,E28)</f>
        <v>5.5677643628300206E-3</v>
      </c>
      <c r="S4" s="3">
        <f t="shared" ref="S4:S11" si="11">STDEV(F4,F16,F28)</f>
        <v>6.3508529610858807E-3</v>
      </c>
    </row>
    <row r="5" spans="1:19" x14ac:dyDescent="0.25">
      <c r="A5" s="3">
        <v>2</v>
      </c>
      <c r="B5" s="3">
        <v>0.22</v>
      </c>
      <c r="C5" s="3">
        <v>0.159</v>
      </c>
      <c r="D5" s="3">
        <v>0.158</v>
      </c>
      <c r="E5" s="3">
        <v>0.13100000000000001</v>
      </c>
      <c r="F5" s="3">
        <v>0.129</v>
      </c>
      <c r="H5" s="3">
        <v>2</v>
      </c>
      <c r="I5" s="3">
        <f t="shared" si="2"/>
        <v>0.24533333333333332</v>
      </c>
      <c r="J5" s="3">
        <f t="shared" si="3"/>
        <v>0.18733333333333332</v>
      </c>
      <c r="K5" s="3">
        <f t="shared" si="4"/>
        <v>0.18466666666666665</v>
      </c>
      <c r="L5" s="3">
        <f t="shared" si="5"/>
        <v>0.15766666666666668</v>
      </c>
      <c r="M5" s="3">
        <f t="shared" si="6"/>
        <v>0.15666666666666668</v>
      </c>
      <c r="O5" s="3">
        <f t="shared" si="7"/>
        <v>2.968725877094977E-2</v>
      </c>
      <c r="P5" s="3">
        <f t="shared" si="8"/>
        <v>2.800595174839338E-2</v>
      </c>
      <c r="Q5" s="3">
        <f t="shared" si="9"/>
        <v>2.8676354952004299E-2</v>
      </c>
      <c r="R5" s="3">
        <f t="shared" si="10"/>
        <v>3.8656607887052552E-2</v>
      </c>
      <c r="S5" s="3">
        <f t="shared" si="11"/>
        <v>3.4268547289509163E-2</v>
      </c>
    </row>
    <row r="6" spans="1:19" x14ac:dyDescent="0.25">
      <c r="A6" s="3">
        <v>3</v>
      </c>
      <c r="B6" s="3">
        <v>0.65400000000000003</v>
      </c>
      <c r="C6" s="3">
        <v>0.42799999999999999</v>
      </c>
      <c r="D6" s="3">
        <v>0.40300000000000002</v>
      </c>
      <c r="E6" s="3">
        <v>0.28999999999999998</v>
      </c>
      <c r="F6" s="3">
        <v>0.28799999999999998</v>
      </c>
      <c r="H6" s="3">
        <v>3</v>
      </c>
      <c r="I6" s="3">
        <f t="shared" si="2"/>
        <v>0.71099999999999997</v>
      </c>
      <c r="J6" s="3">
        <f t="shared" si="3"/>
        <v>0.51733333333333331</v>
      </c>
      <c r="K6" s="3">
        <f t="shared" si="4"/>
        <v>0.48533333333333334</v>
      </c>
      <c r="L6" s="3">
        <f t="shared" si="5"/>
        <v>0.36899999999999999</v>
      </c>
      <c r="M6" s="3">
        <f t="shared" si="6"/>
        <v>0.37333333333333329</v>
      </c>
      <c r="O6" s="3">
        <f t="shared" si="7"/>
        <v>8.606392972668632E-2</v>
      </c>
      <c r="P6" s="3">
        <f t="shared" si="8"/>
        <v>9.7295083808655508E-2</v>
      </c>
      <c r="Q6" s="3">
        <f t="shared" si="9"/>
        <v>9.8185199156152661E-2</v>
      </c>
      <c r="R6" s="3">
        <f t="shared" si="10"/>
        <v>0.10337794735822531</v>
      </c>
      <c r="S6" s="3">
        <f t="shared" si="11"/>
        <v>0.10042576030746973</v>
      </c>
    </row>
    <row r="7" spans="1:19" x14ac:dyDescent="0.25">
      <c r="A7" s="3">
        <v>4</v>
      </c>
      <c r="B7" s="3">
        <v>1.47</v>
      </c>
      <c r="C7" s="3">
        <v>1.1000000000000001</v>
      </c>
      <c r="D7" s="3">
        <v>0.95</v>
      </c>
      <c r="E7" s="3">
        <v>0.56000000000000005</v>
      </c>
      <c r="F7" s="3">
        <v>0.65</v>
      </c>
      <c r="H7" s="3">
        <v>4</v>
      </c>
      <c r="I7" s="3">
        <f t="shared" si="2"/>
        <v>1.57</v>
      </c>
      <c r="J7" s="3">
        <f t="shared" si="3"/>
        <v>1.3233333333333335</v>
      </c>
      <c r="K7" s="3">
        <f t="shared" si="4"/>
        <v>1.18</v>
      </c>
      <c r="L7" s="3">
        <f t="shared" si="5"/>
        <v>0.74333333333333329</v>
      </c>
      <c r="M7" s="3">
        <f t="shared" si="6"/>
        <v>0.87000000000000011</v>
      </c>
      <c r="O7" s="3">
        <f t="shared" si="7"/>
        <v>0.15620499351813311</v>
      </c>
      <c r="P7" s="3">
        <f t="shared" si="8"/>
        <v>0.21548395145191876</v>
      </c>
      <c r="Q7" s="3">
        <f t="shared" si="9"/>
        <v>0.24637369989509877</v>
      </c>
      <c r="R7" s="3">
        <f t="shared" si="10"/>
        <v>0.19604421270043507</v>
      </c>
      <c r="S7" s="3">
        <f t="shared" si="11"/>
        <v>0.23065125189341573</v>
      </c>
    </row>
    <row r="8" spans="1:19" x14ac:dyDescent="0.25">
      <c r="A8" s="3">
        <v>5</v>
      </c>
      <c r="B8" s="3">
        <v>2.69</v>
      </c>
      <c r="C8" s="3">
        <v>1.89</v>
      </c>
      <c r="D8" s="3">
        <v>2.0499999999999998</v>
      </c>
      <c r="E8" s="3">
        <v>0.82</v>
      </c>
      <c r="F8" s="3">
        <v>1.44</v>
      </c>
      <c r="H8" s="3">
        <v>5</v>
      </c>
      <c r="I8" s="3">
        <f t="shared" si="2"/>
        <v>2.5533333333333332</v>
      </c>
      <c r="J8" s="3">
        <f t="shared" si="3"/>
        <v>2.0666666666666664</v>
      </c>
      <c r="K8" s="3">
        <f t="shared" si="4"/>
        <v>2.2233333333333332</v>
      </c>
      <c r="L8" s="3">
        <f t="shared" si="5"/>
        <v>1.0666666666666667</v>
      </c>
      <c r="M8" s="3">
        <f t="shared" si="6"/>
        <v>1.76</v>
      </c>
      <c r="O8" s="3">
        <f t="shared" si="7"/>
        <v>0.18717193521821948</v>
      </c>
      <c r="P8" s="3">
        <f t="shared" si="8"/>
        <v>0.24006943440041115</v>
      </c>
      <c r="Q8" s="3">
        <f t="shared" si="9"/>
        <v>0.390042732701601</v>
      </c>
      <c r="R8" s="3">
        <f t="shared" si="10"/>
        <v>0.25540817005987304</v>
      </c>
      <c r="S8" s="3">
        <f t="shared" si="11"/>
        <v>0.43092922852830456</v>
      </c>
    </row>
    <row r="9" spans="1:19" x14ac:dyDescent="0.25">
      <c r="A9" s="3">
        <v>6</v>
      </c>
      <c r="B9" s="3">
        <v>3.29</v>
      </c>
      <c r="C9" s="3">
        <v>2.08</v>
      </c>
      <c r="D9" s="3">
        <v>3.18</v>
      </c>
      <c r="E9" s="3">
        <v>0.83</v>
      </c>
      <c r="F9" s="3">
        <v>2.4700000000000002</v>
      </c>
      <c r="H9" s="3">
        <v>6</v>
      </c>
      <c r="I9" s="3">
        <f t="shared" si="2"/>
        <v>3.1366666666666667</v>
      </c>
      <c r="J9" s="3">
        <f t="shared" si="3"/>
        <v>2.3366666666666669</v>
      </c>
      <c r="K9" s="3">
        <f t="shared" si="4"/>
        <v>3.2333333333333338</v>
      </c>
      <c r="L9" s="3">
        <f t="shared" si="5"/>
        <v>1.1133333333333333</v>
      </c>
      <c r="M9" s="3">
        <f t="shared" si="6"/>
        <v>2.7666666666666671</v>
      </c>
      <c r="O9" s="3">
        <f t="shared" si="7"/>
        <v>0.13868429375143146</v>
      </c>
      <c r="P9" s="3">
        <f t="shared" si="8"/>
        <v>0.27098585448936879</v>
      </c>
      <c r="Q9" s="3">
        <f t="shared" si="9"/>
        <v>0.14742229591663975</v>
      </c>
      <c r="R9" s="3">
        <f t="shared" si="10"/>
        <v>0.26689573494781305</v>
      </c>
      <c r="S9" s="3">
        <f t="shared" si="11"/>
        <v>0.31085902485424677</v>
      </c>
    </row>
    <row r="10" spans="1:19" x14ac:dyDescent="0.25">
      <c r="A10" s="3">
        <v>7</v>
      </c>
      <c r="B10" s="3">
        <v>3.53</v>
      </c>
      <c r="C10" s="3">
        <v>2.12</v>
      </c>
      <c r="D10" s="3">
        <v>4.12</v>
      </c>
      <c r="E10" s="3">
        <v>0.73</v>
      </c>
      <c r="F10" s="3">
        <v>3.47</v>
      </c>
      <c r="H10" s="3">
        <v>7</v>
      </c>
      <c r="I10" s="3">
        <f t="shared" si="2"/>
        <v>3.23</v>
      </c>
      <c r="J10" s="3">
        <f t="shared" si="3"/>
        <v>2.313333333333333</v>
      </c>
      <c r="K10" s="3">
        <f t="shared" si="4"/>
        <v>3.9500000000000006</v>
      </c>
      <c r="L10" s="3">
        <f t="shared" si="5"/>
        <v>1.0366666666666666</v>
      </c>
      <c r="M10" s="3">
        <f t="shared" si="6"/>
        <v>3.6233333333333335</v>
      </c>
      <c r="O10" s="3">
        <f t="shared" si="7"/>
        <v>0.2718455443813636</v>
      </c>
      <c r="P10" s="3">
        <f t="shared" si="8"/>
        <v>0.24583192089989711</v>
      </c>
      <c r="Q10" s="3">
        <f t="shared" si="9"/>
        <v>0.14730919862656244</v>
      </c>
      <c r="R10" s="3">
        <f t="shared" si="10"/>
        <v>0.26633312473917609</v>
      </c>
      <c r="S10" s="3">
        <f t="shared" si="11"/>
        <v>0.13316656236958774</v>
      </c>
    </row>
    <row r="11" spans="1:19" x14ac:dyDescent="0.25">
      <c r="A11" s="4">
        <v>8</v>
      </c>
      <c r="B11" s="4">
        <v>3.6</v>
      </c>
      <c r="C11" s="4">
        <v>2.16</v>
      </c>
      <c r="D11" s="4">
        <v>4.1900000000000004</v>
      </c>
      <c r="E11" s="4">
        <v>0.55000000000000004</v>
      </c>
      <c r="F11" s="4">
        <v>4.07</v>
      </c>
      <c r="H11" s="4">
        <v>8</v>
      </c>
      <c r="I11" s="4">
        <f t="shared" si="2"/>
        <v>3.31</v>
      </c>
      <c r="J11" s="4">
        <f t="shared" si="3"/>
        <v>2.23</v>
      </c>
      <c r="K11" s="4">
        <f t="shared" si="4"/>
        <v>4.1366666666666667</v>
      </c>
      <c r="L11" s="4">
        <f t="shared" si="5"/>
        <v>0.90333333333333332</v>
      </c>
      <c r="M11" s="4">
        <f t="shared" si="6"/>
        <v>4.0100000000000007</v>
      </c>
      <c r="O11" s="4">
        <f t="shared" si="7"/>
        <v>0.30610455730027925</v>
      </c>
      <c r="P11" s="4">
        <f t="shared" si="8"/>
        <v>0.12999999999999992</v>
      </c>
      <c r="Q11" s="4">
        <f t="shared" si="9"/>
        <v>5.5075705472861163E-2</v>
      </c>
      <c r="R11" s="4">
        <f t="shared" si="10"/>
        <v>0.30664855018951814</v>
      </c>
      <c r="S11" s="4">
        <f t="shared" si="11"/>
        <v>5.2915026221291857E-2</v>
      </c>
    </row>
    <row r="13" spans="1:19" x14ac:dyDescent="0.25">
      <c r="A13" s="1" t="s">
        <v>2</v>
      </c>
      <c r="B13" s="1"/>
      <c r="C13" s="1"/>
      <c r="D13" s="1"/>
      <c r="E13" s="1"/>
      <c r="F13" s="1"/>
    </row>
    <row r="14" spans="1:19" x14ac:dyDescent="0.25">
      <c r="A14" s="1" t="s">
        <v>1</v>
      </c>
      <c r="B14" s="1" t="s">
        <v>10</v>
      </c>
      <c r="C14" s="1" t="s">
        <v>6</v>
      </c>
      <c r="D14" s="1" t="s">
        <v>7</v>
      </c>
      <c r="E14" s="1" t="s">
        <v>8</v>
      </c>
      <c r="F14" s="1" t="s">
        <v>9</v>
      </c>
    </row>
    <row r="15" spans="1:19" x14ac:dyDescent="0.25">
      <c r="A15" s="2">
        <v>0</v>
      </c>
      <c r="B15" s="2">
        <v>0.05</v>
      </c>
      <c r="C15" s="2">
        <v>0.05</v>
      </c>
      <c r="D15" s="2">
        <v>0.05</v>
      </c>
      <c r="E15" s="2">
        <v>0.05</v>
      </c>
      <c r="F15" s="2">
        <v>0.05</v>
      </c>
    </row>
    <row r="16" spans="1:19" x14ac:dyDescent="0.25">
      <c r="A16" s="3">
        <v>1</v>
      </c>
      <c r="B16" s="3">
        <v>0.09</v>
      </c>
      <c r="C16" s="3">
        <v>8.1000000000000003E-2</v>
      </c>
      <c r="D16" s="3">
        <v>7.3999999999999996E-2</v>
      </c>
      <c r="E16" s="3">
        <v>6.7000000000000004E-2</v>
      </c>
      <c r="F16" s="3">
        <v>6.7000000000000004E-2</v>
      </c>
    </row>
    <row r="17" spans="1:6" x14ac:dyDescent="0.25">
      <c r="A17" s="3">
        <v>2</v>
      </c>
      <c r="B17" s="3">
        <v>0.23799999999999999</v>
      </c>
      <c r="C17" s="3">
        <v>0.188</v>
      </c>
      <c r="D17" s="3">
        <v>0.18099999999999999</v>
      </c>
      <c r="E17" s="3">
        <v>0.14000000000000001</v>
      </c>
      <c r="F17" s="3">
        <v>0.14599999999999999</v>
      </c>
    </row>
    <row r="18" spans="1:6" x14ac:dyDescent="0.25">
      <c r="A18" s="3">
        <v>3</v>
      </c>
      <c r="B18" s="3">
        <v>0.66900000000000004</v>
      </c>
      <c r="C18" s="3">
        <v>0.503</v>
      </c>
      <c r="D18" s="3">
        <v>0.45900000000000002</v>
      </c>
      <c r="E18" s="3">
        <v>0.33100000000000002</v>
      </c>
      <c r="F18" s="3">
        <v>0.34799999999999998</v>
      </c>
    </row>
    <row r="19" spans="1:6" x14ac:dyDescent="0.25">
      <c r="A19" s="3">
        <v>4</v>
      </c>
      <c r="B19" s="3">
        <v>1.49</v>
      </c>
      <c r="C19" s="3">
        <v>1.34</v>
      </c>
      <c r="D19" s="3">
        <v>1.1499999999999999</v>
      </c>
      <c r="E19" s="3">
        <v>0.72</v>
      </c>
      <c r="F19" s="3">
        <v>0.85</v>
      </c>
    </row>
    <row r="20" spans="1:6" x14ac:dyDescent="0.25">
      <c r="A20" s="3">
        <v>5</v>
      </c>
      <c r="B20" s="3">
        <v>2.34</v>
      </c>
      <c r="C20" s="3">
        <v>1.97</v>
      </c>
      <c r="D20" s="3">
        <v>1.95</v>
      </c>
      <c r="E20" s="3">
        <v>1.05</v>
      </c>
      <c r="F20" s="3">
        <v>1.59</v>
      </c>
    </row>
    <row r="21" spans="1:6" x14ac:dyDescent="0.25">
      <c r="A21" s="3">
        <v>6</v>
      </c>
      <c r="B21" s="3">
        <v>3.02</v>
      </c>
      <c r="C21" s="3">
        <v>2.31</v>
      </c>
      <c r="D21" s="3">
        <v>3.12</v>
      </c>
      <c r="E21" s="3">
        <v>1.1499999999999999</v>
      </c>
      <c r="F21" s="3">
        <v>2.74</v>
      </c>
    </row>
    <row r="22" spans="1:6" x14ac:dyDescent="0.25">
      <c r="A22" s="3">
        <v>7</v>
      </c>
      <c r="B22" s="3">
        <v>3.16</v>
      </c>
      <c r="C22" s="3">
        <v>2.23</v>
      </c>
      <c r="D22" s="3">
        <v>3.86</v>
      </c>
      <c r="E22" s="3">
        <v>1.17</v>
      </c>
      <c r="F22" s="3">
        <v>3.69</v>
      </c>
    </row>
    <row r="23" spans="1:6" x14ac:dyDescent="0.25">
      <c r="A23" s="4">
        <v>8</v>
      </c>
      <c r="B23" s="4">
        <v>3.34</v>
      </c>
      <c r="C23" s="4">
        <v>2.38</v>
      </c>
      <c r="D23" s="4">
        <v>4.08</v>
      </c>
      <c r="E23" s="4">
        <v>1.1000000000000001</v>
      </c>
      <c r="F23" s="4">
        <v>3.97</v>
      </c>
    </row>
    <row r="25" spans="1:6" x14ac:dyDescent="0.25">
      <c r="A25" s="1" t="s">
        <v>3</v>
      </c>
      <c r="B25" s="1"/>
      <c r="C25" s="1"/>
      <c r="D25" s="1"/>
      <c r="E25" s="1"/>
      <c r="F25" s="1"/>
    </row>
    <row r="26" spans="1:6" x14ac:dyDescent="0.25">
      <c r="A26" s="1" t="s">
        <v>1</v>
      </c>
      <c r="B26" s="1" t="s">
        <v>10</v>
      </c>
      <c r="C26" s="1" t="s">
        <v>6</v>
      </c>
      <c r="D26" s="1" t="s">
        <v>7</v>
      </c>
      <c r="E26" s="1" t="s">
        <v>8</v>
      </c>
      <c r="F26" s="1" t="s">
        <v>9</v>
      </c>
    </row>
    <row r="27" spans="1:6" x14ac:dyDescent="0.25">
      <c r="A27" s="2">
        <v>0</v>
      </c>
      <c r="B27" s="2">
        <v>0.05</v>
      </c>
      <c r="C27" s="2">
        <v>0.05</v>
      </c>
      <c r="D27" s="2">
        <v>0.05</v>
      </c>
      <c r="E27" s="2">
        <v>0.05</v>
      </c>
      <c r="F27" s="2">
        <v>0.05</v>
      </c>
    </row>
    <row r="28" spans="1:6" x14ac:dyDescent="0.25">
      <c r="A28" s="3">
        <v>1</v>
      </c>
      <c r="B28" s="3">
        <v>9.7000000000000003E-2</v>
      </c>
      <c r="C28" s="3">
        <v>0.08</v>
      </c>
      <c r="D28" s="3">
        <v>8.2000000000000003E-2</v>
      </c>
      <c r="E28" s="3">
        <v>7.8E-2</v>
      </c>
      <c r="F28" s="3">
        <v>7.8E-2</v>
      </c>
    </row>
    <row r="29" spans="1:6" x14ac:dyDescent="0.25">
      <c r="A29" s="3">
        <v>2</v>
      </c>
      <c r="B29" s="3">
        <v>0.27800000000000002</v>
      </c>
      <c r="C29" s="3">
        <v>0.215</v>
      </c>
      <c r="D29" s="3">
        <v>0.215</v>
      </c>
      <c r="E29" s="3">
        <v>0.20200000000000001</v>
      </c>
      <c r="F29" s="3">
        <v>0.19500000000000001</v>
      </c>
    </row>
    <row r="30" spans="1:6" x14ac:dyDescent="0.25">
      <c r="A30" s="3">
        <v>3</v>
      </c>
      <c r="B30" s="3">
        <v>0.81</v>
      </c>
      <c r="C30" s="3">
        <v>0.621</v>
      </c>
      <c r="D30" s="3">
        <v>0.59399999999999997</v>
      </c>
      <c r="E30" s="3">
        <v>0.48599999999999999</v>
      </c>
      <c r="F30" s="3">
        <v>0.48399999999999999</v>
      </c>
    </row>
    <row r="31" spans="1:6" x14ac:dyDescent="0.25">
      <c r="A31" s="3">
        <v>4</v>
      </c>
      <c r="B31" s="3">
        <v>1.75</v>
      </c>
      <c r="C31" s="3">
        <v>1.53</v>
      </c>
      <c r="D31" s="3">
        <v>1.44</v>
      </c>
      <c r="E31" s="3">
        <v>0.95</v>
      </c>
      <c r="F31" s="3">
        <v>1.1100000000000001</v>
      </c>
    </row>
    <row r="32" spans="1:6" x14ac:dyDescent="0.25">
      <c r="A32" s="3">
        <v>5</v>
      </c>
      <c r="B32" s="3">
        <v>2.63</v>
      </c>
      <c r="C32" s="3">
        <v>2.34</v>
      </c>
      <c r="D32" s="3">
        <v>2.67</v>
      </c>
      <c r="E32" s="3">
        <v>1.33</v>
      </c>
      <c r="F32" s="3">
        <v>2.25</v>
      </c>
    </row>
    <row r="33" spans="1:6" x14ac:dyDescent="0.25">
      <c r="A33" s="3">
        <v>6</v>
      </c>
      <c r="B33" s="3">
        <v>3.1</v>
      </c>
      <c r="C33" s="3">
        <v>2.62</v>
      </c>
      <c r="D33" s="3">
        <v>3.4</v>
      </c>
      <c r="E33" s="3">
        <v>1.36</v>
      </c>
      <c r="F33" s="3">
        <v>3.09</v>
      </c>
    </row>
    <row r="34" spans="1:6" x14ac:dyDescent="0.25">
      <c r="A34" s="3">
        <v>7</v>
      </c>
      <c r="B34" s="3">
        <v>3</v>
      </c>
      <c r="C34" s="3">
        <v>2.59</v>
      </c>
      <c r="D34" s="3">
        <v>3.87</v>
      </c>
      <c r="E34" s="3">
        <v>1.21</v>
      </c>
      <c r="F34" s="3">
        <v>3.71</v>
      </c>
    </row>
    <row r="35" spans="1:6" x14ac:dyDescent="0.25">
      <c r="A35" s="4">
        <v>8</v>
      </c>
      <c r="B35" s="4">
        <v>2.99</v>
      </c>
      <c r="C35" s="4">
        <v>2.15</v>
      </c>
      <c r="D35" s="4">
        <v>4.1399999999999997</v>
      </c>
      <c r="E35" s="4">
        <v>1.06</v>
      </c>
      <c r="F35" s="4">
        <v>3.99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Robert Koch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Halbedel, Sven</dc:creator>
  <cp:lastModifiedBy>Halbedel, Sven</cp:lastModifiedBy>
  <dcterms:created xsi:type="dcterms:W3CDTF">2026-01-22T10:56:23Z</dcterms:created>
  <dcterms:modified xsi:type="dcterms:W3CDTF">2026-01-22T11:08:46Z</dcterms:modified>
</cp:coreProperties>
</file>