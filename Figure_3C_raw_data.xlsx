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B07268CE-DBA1-410A-9666-774C23E344F9}" xr6:coauthVersionLast="36" xr6:coauthVersionMax="36" xr10:uidLastSave="{00000000-0000-0000-0000-000000000000}"/>
  <bookViews>
    <workbookView xWindow="0" yWindow="0" windowWidth="24420" windowHeight="9630" xr2:uid="{80063A75-3B34-474D-8EBD-94A527730A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3" i="1" l="1"/>
  <c r="C44" i="1"/>
  <c r="D44" i="1"/>
  <c r="G44" i="1"/>
  <c r="H44" i="1"/>
  <c r="I44" i="1"/>
  <c r="B44" i="1"/>
  <c r="C52" i="1"/>
  <c r="C53" i="1"/>
  <c r="C57" i="1" s="1"/>
  <c r="C54" i="1"/>
  <c r="C55" i="1"/>
  <c r="C59" i="1" s="1"/>
  <c r="C56" i="1"/>
  <c r="B56" i="1"/>
  <c r="B55" i="1"/>
  <c r="B54" i="1"/>
  <c r="B53" i="1"/>
  <c r="B57" i="1" s="1"/>
  <c r="B52" i="1"/>
  <c r="B60" i="1" l="1"/>
  <c r="B58" i="1"/>
  <c r="C58" i="1"/>
  <c r="C61" i="1"/>
  <c r="B61" i="1"/>
  <c r="B59" i="1"/>
  <c r="C60" i="1"/>
</calcChain>
</file>

<file path=xl/sharedStrings.xml><?xml version="1.0" encoding="utf-8"?>
<sst xmlns="http://schemas.openxmlformats.org/spreadsheetml/2006/main" count="35" uniqueCount="22">
  <si>
    <t>Median</t>
  </si>
  <si>
    <t>wt</t>
  </si>
  <si>
    <t>divIVA</t>
  </si>
  <si>
    <t>Minimum</t>
  </si>
  <si>
    <t>Quartil1</t>
  </si>
  <si>
    <t>Quartil3</t>
  </si>
  <si>
    <t>Maximum</t>
  </si>
  <si>
    <t>Fußsäule</t>
  </si>
  <si>
    <t>Quartil 2 Box</t>
  </si>
  <si>
    <t>Quartil 3 Box</t>
  </si>
  <si>
    <t>Antenne neg.</t>
  </si>
  <si>
    <t>Antenne pos.</t>
  </si>
  <si>
    <t>P vs wt</t>
  </si>
  <si>
    <t>Avg 1</t>
  </si>
  <si>
    <t xml:space="preserve">Avg 2 </t>
  </si>
  <si>
    <t>Avg 3</t>
  </si>
  <si>
    <t>Avg</t>
  </si>
  <si>
    <t>i</t>
  </si>
  <si>
    <t>ii</t>
  </si>
  <si>
    <t>iii</t>
  </si>
  <si>
    <t>cells per chain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</si>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</sst>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Tabelle1!$A$57</c:f>
              <c:strCache>
                <c:ptCount val="1"/>
                <c:pt idx="0">
                  <c:v>Fußsäule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minus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Tabelle1!$B$60:$C$60</c:f>
                <c:numCache>
                  <c:formatCode>General</c:formatCode>
                  <c:ptCount val="2"/>
                  <c:pt idx="0">
                    <c:v>2.5000000000000133E-2</c:v>
                  </c:pt>
                  <c:pt idx="1">
                    <c:v>0.52500000000000036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Tabelle1!$B$51:$C$51</c:f>
              <c:strCache>
                <c:ptCount val="2"/>
                <c:pt idx="0">
                  <c:v>wt</c:v>
                </c:pt>
                <c:pt idx="1">
                  <c:v>divIVA</c:v>
                </c:pt>
              </c:strCache>
            </c:strRef>
          </c:cat>
          <c:val>
            <c:numRef>
              <c:f>Tabelle1!$B$57:$C$57</c:f>
              <c:numCache>
                <c:formatCode>General</c:formatCode>
                <c:ptCount val="2"/>
                <c:pt idx="0">
                  <c:v>1.35</c:v>
                </c:pt>
                <c:pt idx="1">
                  <c:v>13.35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8-47C6-BA73-CB4DB8E1DCF1}"/>
            </c:ext>
          </c:extLst>
        </c:ser>
        <c:ser>
          <c:idx val="1"/>
          <c:order val="1"/>
          <c:tx>
            <c:strRef>
              <c:f>Tabelle1!$A$58</c:f>
              <c:strCache>
                <c:ptCount val="1"/>
                <c:pt idx="0">
                  <c:v>Quartil 2 Box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Tabelle1!$B$51:$C$51</c:f>
              <c:strCache>
                <c:ptCount val="2"/>
                <c:pt idx="0">
                  <c:v>wt</c:v>
                </c:pt>
                <c:pt idx="1">
                  <c:v>divIVA</c:v>
                </c:pt>
              </c:strCache>
            </c:strRef>
          </c:cat>
          <c:val>
            <c:numRef>
              <c:f>Tabelle1!$B$58:$C$58</c:f>
              <c:numCache>
                <c:formatCode>General</c:formatCode>
                <c:ptCount val="2"/>
                <c:pt idx="0">
                  <c:v>2.4999999999999911E-2</c:v>
                </c:pt>
                <c:pt idx="1">
                  <c:v>0.52500000000000036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C8-47C6-BA73-CB4DB8E1DCF1}"/>
            </c:ext>
          </c:extLst>
        </c:ser>
        <c:ser>
          <c:idx val="2"/>
          <c:order val="2"/>
          <c:tx>
            <c:strRef>
              <c:f>Tabelle1!$A$59</c:f>
              <c:strCache>
                <c:ptCount val="1"/>
                <c:pt idx="0">
                  <c:v>Quartil 3 Box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Tabelle1!$B$61:$C$61</c:f>
                <c:numCache>
                  <c:formatCode>General</c:formatCode>
                  <c:ptCount val="2"/>
                  <c:pt idx="0">
                    <c:v>7.4999999999999956E-2</c:v>
                  </c:pt>
                  <c:pt idx="1">
                    <c:v>1.1750000000000007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Tabelle1!$B$51:$C$51</c:f>
              <c:strCache>
                <c:ptCount val="2"/>
                <c:pt idx="0">
                  <c:v>wt</c:v>
                </c:pt>
                <c:pt idx="1">
                  <c:v>divIVA</c:v>
                </c:pt>
              </c:strCache>
            </c:strRef>
          </c:cat>
          <c:val>
            <c:numRef>
              <c:f>Tabelle1!$B$59:$C$59</c:f>
              <c:numCache>
                <c:formatCode>General</c:formatCode>
                <c:ptCount val="2"/>
                <c:pt idx="0">
                  <c:v>7.4999999999999956E-2</c:v>
                </c:pt>
                <c:pt idx="1">
                  <c:v>1.1750000000000007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C8-47C6-BA73-CB4DB8E1D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3629064"/>
        <c:axId val="353629392"/>
      </c:barChart>
      <c:catAx>
        <c:axId val="353629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53629392"/>
        <c:crosses val="autoZero"/>
        <c:auto val="1"/>
        <c:lblAlgn val="ctr"/>
        <c:lblOffset val="100"/>
        <c:noMultiLvlLbl val="0"/>
      </c:catAx>
      <c:valAx>
        <c:axId val="353629392"/>
        <c:scaling>
          <c:orientation val="minMax"/>
          <c:max val="2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5362906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Tabelle1!$A$48</c:f>
              <c:strCache>
                <c:ptCount val="1"/>
                <c:pt idx="0">
                  <c:v>Avg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Tabelle1!$B$47:$C$47</c:f>
              <c:strCache>
                <c:ptCount val="2"/>
                <c:pt idx="0">
                  <c:v>wt</c:v>
                </c:pt>
                <c:pt idx="1">
                  <c:v>divIVA</c:v>
                </c:pt>
              </c:strCache>
            </c:strRef>
          </c:xVal>
          <c:yVal>
            <c:numRef>
              <c:f>Tabelle1!$B$48:$C$48</c:f>
              <c:numCache>
                <c:formatCode>General</c:formatCode>
                <c:ptCount val="2"/>
                <c:pt idx="0">
                  <c:v>1.375</c:v>
                </c:pt>
                <c:pt idx="1">
                  <c:v>13.875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D-4477-A3D8-40B81D789EFD}"/>
            </c:ext>
          </c:extLst>
        </c:ser>
        <c:ser>
          <c:idx val="1"/>
          <c:order val="1"/>
          <c:tx>
            <c:strRef>
              <c:f>Tabelle1!$A$49</c:f>
              <c:strCache>
                <c:ptCount val="1"/>
                <c:pt idx="0">
                  <c:v>Avg 2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Tabelle1!$B$47:$C$47</c:f>
              <c:strCache>
                <c:ptCount val="2"/>
                <c:pt idx="0">
                  <c:v>wt</c:v>
                </c:pt>
                <c:pt idx="1">
                  <c:v>divIVA</c:v>
                </c:pt>
              </c:strCache>
            </c:strRef>
          </c:xVal>
          <c:yVal>
            <c:numRef>
              <c:f>Tabelle1!$B$49:$C$49</c:f>
              <c:numCache>
                <c:formatCode>General</c:formatCode>
                <c:ptCount val="2"/>
                <c:pt idx="0">
                  <c:v>1.5249999999999999</c:v>
                </c:pt>
                <c:pt idx="1">
                  <c:v>16.225000000000001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BD-4477-A3D8-40B81D789EFD}"/>
            </c:ext>
          </c:extLst>
        </c:ser>
        <c:ser>
          <c:idx val="2"/>
          <c:order val="2"/>
          <c:tx>
            <c:strRef>
              <c:f>Tabelle1!$A$50</c:f>
              <c:strCache>
                <c:ptCount val="1"/>
                <c:pt idx="0">
                  <c:v>Avg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strRef>
              <c:f>Tabelle1!$B$47:$C$47</c:f>
              <c:strCache>
                <c:ptCount val="2"/>
                <c:pt idx="0">
                  <c:v>wt</c:v>
                </c:pt>
                <c:pt idx="1">
                  <c:v>divIVA</c:v>
                </c:pt>
              </c:strCache>
            </c:strRef>
          </c:xVal>
          <c:yVal>
            <c:numRef>
              <c:f>Tabelle1!$B$50:$C$50</c:f>
              <c:numCache>
                <c:formatCode>General</c:formatCode>
                <c:ptCount val="2"/>
                <c:pt idx="0">
                  <c:v>1.325</c:v>
                </c:pt>
                <c:pt idx="1">
                  <c:v>12.824999999999999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BD-4477-A3D8-40B81D789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4048184"/>
        <c:axId val="354042936"/>
      </c:scatterChart>
      <c:valAx>
        <c:axId val="354048184"/>
        <c:scaling>
          <c:orientation val="minMax"/>
          <c:max val="2.5"/>
          <c:min val="0.5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54042936"/>
        <c:crosses val="autoZero"/>
        <c:crossBetween val="midCat"/>
      </c:valAx>
      <c:valAx>
        <c:axId val="354042936"/>
        <c:scaling>
          <c:orientation val="minMax"/>
          <c:max val="2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354048184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135081</xdr:colOff>
      <xdr:row>46</xdr:row>
      <xdr:rowOff>164090</xdr:rowOff>
    </xdr:from>
    <xdr:to>
      <xdr:col>10</xdr:col>
      <xdr:colOff>103908</xdr:colOff>
      <xdr:row>61</xdr:row>
      <xdr:rowOff>49790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50F83EC-F038-48A7-974B-25A11E1F0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53252</xdr:colOff>
      <xdr:row>46</xdr:row>
      <xdr:rowOff>142441</xdr:rowOff>
    </xdr:from>
    <xdr:to>
      <xdr:col>7</xdr:col>
      <xdr:colOff>22079</xdr:colOff>
      <xdr:row>61</xdr:row>
      <xdr:rowOff>28141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B901A7E-2DB9-4F64-A85D-22DA08D1C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1A76-5FE1-4F1B-87BF-D563035ACBCC}">
  <dimension ref="A1:I63"/>
  <sheetViews>
    <sheetView tabSelected="1" zoomScale="55" zoomScaleNormal="55" workbookViewId="0">
      <selection activeCell="M54" sqref="M54"/>
    </sheetView>
  </sheetViews>
  <sheetFormatPr baseColWidth="10" defaultRowHeight="15" x14ac:dyDescent="0.25"/>
  <sheetData>
    <row r="1" spans="1:9" x14ac:dyDescent="0.25">
      <c r="A1" s="1" t="s">
        <v>20</v>
      </c>
      <c r="B1" s="1" t="s">
        <v>17</v>
      </c>
      <c r="C1" s="1" t="s">
        <v>18</v>
      </c>
      <c r="D1" s="1" t="s">
        <v>19</v>
      </c>
      <c r="F1" s="1" t="s">
        <v>20</v>
      </c>
      <c r="G1" s="1" t="s">
        <v>17</v>
      </c>
      <c r="H1" s="1" t="s">
        <v>18</v>
      </c>
      <c r="I1" s="1" t="s">
        <v>19</v>
      </c>
    </row>
    <row r="2" spans="1:9" x14ac:dyDescent="0.25">
      <c r="A2" s="1" t="s">
        <v>21</v>
      </c>
      <c r="B2" s="1" t="s">
        <v>1</v>
      </c>
      <c r="C2" s="1" t="s">
        <v>1</v>
      </c>
      <c r="D2" s="1" t="s">
        <v>1</v>
      </c>
      <c r="F2" s="2" t="s">
        <v>21</v>
      </c>
      <c r="G2" s="1" t="s">
        <v>2</v>
      </c>
      <c r="H2" s="1" t="s">
        <v>2</v>
      </c>
      <c r="I2" s="1" t="s">
        <v>2</v>
      </c>
    </row>
    <row r="3" spans="1:9" x14ac:dyDescent="0.25">
      <c r="A3" s="2">
        <v>1</v>
      </c>
      <c r="B3" s="2">
        <v>1</v>
      </c>
      <c r="C3" s="2">
        <v>1</v>
      </c>
      <c r="D3" s="2">
        <v>1</v>
      </c>
      <c r="F3" s="2">
        <v>1</v>
      </c>
      <c r="G3" s="2">
        <v>25</v>
      </c>
      <c r="H3" s="2">
        <v>9</v>
      </c>
      <c r="I3" s="2">
        <v>21</v>
      </c>
    </row>
    <row r="4" spans="1:9" x14ac:dyDescent="0.25">
      <c r="A4" s="3">
        <v>2</v>
      </c>
      <c r="B4" s="3">
        <v>1</v>
      </c>
      <c r="C4" s="3">
        <v>2</v>
      </c>
      <c r="D4" s="3">
        <v>1</v>
      </c>
      <c r="F4" s="3">
        <v>2</v>
      </c>
      <c r="G4" s="3">
        <v>13</v>
      </c>
      <c r="H4" s="3">
        <v>12</v>
      </c>
      <c r="I4" s="3">
        <v>14</v>
      </c>
    </row>
    <row r="5" spans="1:9" x14ac:dyDescent="0.25">
      <c r="A5" s="3">
        <v>3</v>
      </c>
      <c r="B5" s="3">
        <v>2</v>
      </c>
      <c r="C5" s="3">
        <v>2</v>
      </c>
      <c r="D5" s="3">
        <v>1</v>
      </c>
      <c r="F5" s="3">
        <v>3</v>
      </c>
      <c r="G5" s="3">
        <v>16</v>
      </c>
      <c r="H5" s="3">
        <v>18</v>
      </c>
      <c r="I5" s="3">
        <v>16</v>
      </c>
    </row>
    <row r="6" spans="1:9" x14ac:dyDescent="0.25">
      <c r="A6" s="3">
        <v>4</v>
      </c>
      <c r="B6" s="3">
        <v>1</v>
      </c>
      <c r="C6" s="3">
        <v>2</v>
      </c>
      <c r="D6" s="3">
        <v>1</v>
      </c>
      <c r="F6" s="3">
        <v>4</v>
      </c>
      <c r="G6" s="3">
        <v>13</v>
      </c>
      <c r="H6" s="3">
        <v>14</v>
      </c>
      <c r="I6" s="3">
        <v>7</v>
      </c>
    </row>
    <row r="7" spans="1:9" x14ac:dyDescent="0.25">
      <c r="A7" s="3">
        <v>5</v>
      </c>
      <c r="B7" s="3">
        <v>1</v>
      </c>
      <c r="C7" s="3">
        <v>1</v>
      </c>
      <c r="D7" s="3">
        <v>2</v>
      </c>
      <c r="F7" s="3">
        <v>5</v>
      </c>
      <c r="G7" s="3">
        <v>14</v>
      </c>
      <c r="H7" s="3">
        <v>13</v>
      </c>
      <c r="I7" s="3">
        <v>8</v>
      </c>
    </row>
    <row r="8" spans="1:9" x14ac:dyDescent="0.25">
      <c r="A8" s="3">
        <v>6</v>
      </c>
      <c r="B8" s="3">
        <v>1</v>
      </c>
      <c r="C8" s="3">
        <v>2</v>
      </c>
      <c r="D8" s="3">
        <v>2</v>
      </c>
      <c r="F8" s="3">
        <v>6</v>
      </c>
      <c r="G8" s="3">
        <v>14</v>
      </c>
      <c r="H8" s="3">
        <v>14</v>
      </c>
      <c r="I8" s="3">
        <v>10</v>
      </c>
    </row>
    <row r="9" spans="1:9" x14ac:dyDescent="0.25">
      <c r="A9" s="3">
        <v>7</v>
      </c>
      <c r="B9" s="3">
        <v>2</v>
      </c>
      <c r="C9" s="3">
        <v>2</v>
      </c>
      <c r="D9" s="3">
        <v>1</v>
      </c>
      <c r="F9" s="3">
        <v>7</v>
      </c>
      <c r="G9" s="3">
        <v>16</v>
      </c>
      <c r="H9" s="3">
        <v>10</v>
      </c>
      <c r="I9" s="3">
        <v>15</v>
      </c>
    </row>
    <row r="10" spans="1:9" x14ac:dyDescent="0.25">
      <c r="A10" s="3">
        <v>8</v>
      </c>
      <c r="B10" s="3">
        <v>1</v>
      </c>
      <c r="C10" s="3">
        <v>2</v>
      </c>
      <c r="D10" s="3">
        <v>1</v>
      </c>
      <c r="F10" s="3">
        <v>8</v>
      </c>
      <c r="G10" s="3">
        <v>12</v>
      </c>
      <c r="H10" s="3">
        <v>10</v>
      </c>
      <c r="I10" s="3">
        <v>9</v>
      </c>
    </row>
    <row r="11" spans="1:9" x14ac:dyDescent="0.25">
      <c r="A11" s="3">
        <v>9</v>
      </c>
      <c r="B11" s="3">
        <v>1</v>
      </c>
      <c r="C11" s="3">
        <v>2</v>
      </c>
      <c r="D11" s="3">
        <v>1</v>
      </c>
      <c r="F11" s="3">
        <v>9</v>
      </c>
      <c r="G11" s="3">
        <v>11</v>
      </c>
      <c r="H11" s="3">
        <v>15</v>
      </c>
      <c r="I11" s="3">
        <v>9</v>
      </c>
    </row>
    <row r="12" spans="1:9" x14ac:dyDescent="0.25">
      <c r="A12" s="3">
        <v>10</v>
      </c>
      <c r="B12" s="3">
        <v>1</v>
      </c>
      <c r="C12" s="3">
        <v>2</v>
      </c>
      <c r="D12" s="3">
        <v>1</v>
      </c>
      <c r="F12" s="3">
        <v>10</v>
      </c>
      <c r="G12" s="3">
        <v>12</v>
      </c>
      <c r="H12" s="3">
        <v>14</v>
      </c>
      <c r="I12" s="3">
        <v>7</v>
      </c>
    </row>
    <row r="13" spans="1:9" x14ac:dyDescent="0.25">
      <c r="A13" s="3">
        <v>11</v>
      </c>
      <c r="B13" s="3">
        <v>1</v>
      </c>
      <c r="C13" s="3">
        <v>2</v>
      </c>
      <c r="D13" s="3">
        <v>1</v>
      </c>
      <c r="F13" s="3">
        <v>11</v>
      </c>
      <c r="G13" s="3">
        <v>8</v>
      </c>
      <c r="H13" s="3">
        <v>14</v>
      </c>
      <c r="I13" s="3">
        <v>23</v>
      </c>
    </row>
    <row r="14" spans="1:9" x14ac:dyDescent="0.25">
      <c r="A14" s="3">
        <v>12</v>
      </c>
      <c r="B14" s="3">
        <v>2</v>
      </c>
      <c r="C14" s="3">
        <v>1</v>
      </c>
      <c r="D14" s="3">
        <v>2</v>
      </c>
      <c r="F14" s="3">
        <v>12</v>
      </c>
      <c r="G14" s="3">
        <v>14</v>
      </c>
      <c r="H14" s="3">
        <v>17</v>
      </c>
      <c r="I14" s="3">
        <v>16</v>
      </c>
    </row>
    <row r="15" spans="1:9" x14ac:dyDescent="0.25">
      <c r="A15" s="3">
        <v>13</v>
      </c>
      <c r="B15" s="3">
        <v>2</v>
      </c>
      <c r="C15" s="3">
        <v>2</v>
      </c>
      <c r="D15" s="3">
        <v>1</v>
      </c>
      <c r="F15" s="3">
        <v>13</v>
      </c>
      <c r="G15" s="3">
        <v>23</v>
      </c>
      <c r="H15" s="3">
        <v>15</v>
      </c>
      <c r="I15" s="3">
        <v>9</v>
      </c>
    </row>
    <row r="16" spans="1:9" x14ac:dyDescent="0.25">
      <c r="A16" s="3">
        <v>14</v>
      </c>
      <c r="B16" s="3">
        <v>1</v>
      </c>
      <c r="C16" s="3">
        <v>2</v>
      </c>
      <c r="D16" s="3">
        <v>2</v>
      </c>
      <c r="F16" s="3">
        <v>14</v>
      </c>
      <c r="G16" s="3">
        <v>12</v>
      </c>
      <c r="H16" s="3">
        <v>16</v>
      </c>
      <c r="I16" s="3">
        <v>8</v>
      </c>
    </row>
    <row r="17" spans="1:9" x14ac:dyDescent="0.25">
      <c r="A17" s="3">
        <v>15</v>
      </c>
      <c r="B17" s="3">
        <v>1</v>
      </c>
      <c r="C17" s="3">
        <v>1</v>
      </c>
      <c r="D17" s="3">
        <v>1</v>
      </c>
      <c r="F17" s="3">
        <v>15</v>
      </c>
      <c r="G17" s="3">
        <v>19</v>
      </c>
      <c r="H17" s="3">
        <v>9</v>
      </c>
      <c r="I17" s="3">
        <v>11</v>
      </c>
    </row>
    <row r="18" spans="1:9" x14ac:dyDescent="0.25">
      <c r="A18" s="3">
        <v>16</v>
      </c>
      <c r="B18" s="3">
        <v>1</v>
      </c>
      <c r="C18" s="3">
        <v>2</v>
      </c>
      <c r="D18" s="3">
        <v>1</v>
      </c>
      <c r="F18" s="3">
        <v>16</v>
      </c>
      <c r="G18" s="3">
        <v>11</v>
      </c>
      <c r="H18" s="3">
        <v>21</v>
      </c>
      <c r="I18" s="3">
        <v>7</v>
      </c>
    </row>
    <row r="19" spans="1:9" x14ac:dyDescent="0.25">
      <c r="A19" s="3">
        <v>17</v>
      </c>
      <c r="B19" s="3">
        <v>2</v>
      </c>
      <c r="C19" s="3">
        <v>1</v>
      </c>
      <c r="D19" s="3">
        <v>2</v>
      </c>
      <c r="F19" s="3">
        <v>17</v>
      </c>
      <c r="G19" s="3">
        <v>8</v>
      </c>
      <c r="H19" s="3">
        <v>19</v>
      </c>
      <c r="I19" s="3">
        <v>22</v>
      </c>
    </row>
    <row r="20" spans="1:9" x14ac:dyDescent="0.25">
      <c r="A20" s="3">
        <v>18</v>
      </c>
      <c r="B20" s="3">
        <v>2</v>
      </c>
      <c r="C20" s="3">
        <v>2</v>
      </c>
      <c r="D20" s="3">
        <v>2</v>
      </c>
      <c r="F20" s="3">
        <v>18</v>
      </c>
      <c r="G20" s="3">
        <v>13</v>
      </c>
      <c r="H20" s="3">
        <v>12</v>
      </c>
      <c r="I20" s="3">
        <v>20</v>
      </c>
    </row>
    <row r="21" spans="1:9" x14ac:dyDescent="0.25">
      <c r="A21" s="3">
        <v>19</v>
      </c>
      <c r="B21" s="3">
        <v>2</v>
      </c>
      <c r="C21" s="3">
        <v>1</v>
      </c>
      <c r="D21" s="3">
        <v>1</v>
      </c>
      <c r="F21" s="3">
        <v>19</v>
      </c>
      <c r="G21" s="3">
        <v>17</v>
      </c>
      <c r="H21" s="3">
        <v>14</v>
      </c>
      <c r="I21" s="3">
        <v>12</v>
      </c>
    </row>
    <row r="22" spans="1:9" x14ac:dyDescent="0.25">
      <c r="A22" s="3">
        <v>20</v>
      </c>
      <c r="B22" s="3">
        <v>2</v>
      </c>
      <c r="C22" s="3">
        <v>1</v>
      </c>
      <c r="D22" s="3">
        <v>1</v>
      </c>
      <c r="F22" s="3">
        <v>20</v>
      </c>
      <c r="G22" s="3">
        <v>16</v>
      </c>
      <c r="H22" s="3">
        <v>30</v>
      </c>
      <c r="I22" s="3">
        <v>17</v>
      </c>
    </row>
    <row r="23" spans="1:9" x14ac:dyDescent="0.25">
      <c r="A23" s="3">
        <v>21</v>
      </c>
      <c r="B23" s="3">
        <v>1</v>
      </c>
      <c r="C23" s="3">
        <v>2</v>
      </c>
      <c r="D23" s="3">
        <v>1</v>
      </c>
      <c r="F23" s="3">
        <v>21</v>
      </c>
      <c r="G23" s="3">
        <v>9</v>
      </c>
      <c r="H23" s="3">
        <v>16</v>
      </c>
      <c r="I23" s="3">
        <v>12</v>
      </c>
    </row>
    <row r="24" spans="1:9" x14ac:dyDescent="0.25">
      <c r="A24" s="3">
        <v>22</v>
      </c>
      <c r="B24" s="3">
        <v>1</v>
      </c>
      <c r="C24" s="3">
        <v>2</v>
      </c>
      <c r="D24" s="3">
        <v>1</v>
      </c>
      <c r="F24" s="3">
        <v>22</v>
      </c>
      <c r="G24" s="3">
        <v>18</v>
      </c>
      <c r="H24" s="3">
        <v>10</v>
      </c>
      <c r="I24" s="3">
        <v>15</v>
      </c>
    </row>
    <row r="25" spans="1:9" x14ac:dyDescent="0.25">
      <c r="A25" s="3">
        <v>23</v>
      </c>
      <c r="B25" s="3">
        <v>1</v>
      </c>
      <c r="C25" s="3">
        <v>1</v>
      </c>
      <c r="D25" s="3">
        <v>1</v>
      </c>
      <c r="F25" s="3">
        <v>23</v>
      </c>
      <c r="G25" s="3">
        <v>11</v>
      </c>
      <c r="H25" s="3">
        <v>16</v>
      </c>
      <c r="I25" s="3">
        <v>12</v>
      </c>
    </row>
    <row r="26" spans="1:9" x14ac:dyDescent="0.25">
      <c r="A26" s="3">
        <v>24</v>
      </c>
      <c r="B26" s="3">
        <v>2</v>
      </c>
      <c r="C26" s="3">
        <v>2</v>
      </c>
      <c r="D26" s="3">
        <v>1</v>
      </c>
      <c r="F26" s="3">
        <v>24</v>
      </c>
      <c r="G26" s="3">
        <v>14</v>
      </c>
      <c r="H26" s="3">
        <v>22</v>
      </c>
      <c r="I26" s="3">
        <v>10</v>
      </c>
    </row>
    <row r="27" spans="1:9" x14ac:dyDescent="0.25">
      <c r="A27" s="3">
        <v>25</v>
      </c>
      <c r="B27" s="3">
        <v>2</v>
      </c>
      <c r="C27" s="3">
        <v>1</v>
      </c>
      <c r="D27" s="3">
        <v>1</v>
      </c>
      <c r="F27" s="3">
        <v>25</v>
      </c>
      <c r="G27" s="3">
        <v>15</v>
      </c>
      <c r="H27" s="3">
        <v>24</v>
      </c>
      <c r="I27" s="3">
        <v>10</v>
      </c>
    </row>
    <row r="28" spans="1:9" x14ac:dyDescent="0.25">
      <c r="A28" s="3">
        <v>26</v>
      </c>
      <c r="B28" s="3">
        <v>1</v>
      </c>
      <c r="C28" s="3">
        <v>2</v>
      </c>
      <c r="D28" s="3">
        <v>1</v>
      </c>
      <c r="F28" s="3">
        <v>26</v>
      </c>
      <c r="G28" s="3">
        <v>11</v>
      </c>
      <c r="H28" s="3">
        <v>30</v>
      </c>
      <c r="I28" s="3">
        <v>18</v>
      </c>
    </row>
    <row r="29" spans="1:9" x14ac:dyDescent="0.25">
      <c r="A29" s="3">
        <v>27</v>
      </c>
      <c r="B29" s="3">
        <v>2</v>
      </c>
      <c r="C29" s="3">
        <v>2</v>
      </c>
      <c r="D29" s="3">
        <v>2</v>
      </c>
      <c r="F29" s="3">
        <v>27</v>
      </c>
      <c r="G29" s="3">
        <v>14</v>
      </c>
      <c r="H29" s="3">
        <v>22</v>
      </c>
      <c r="I29" s="3">
        <v>17</v>
      </c>
    </row>
    <row r="30" spans="1:9" x14ac:dyDescent="0.25">
      <c r="A30" s="3">
        <v>28</v>
      </c>
      <c r="B30" s="3">
        <v>1</v>
      </c>
      <c r="C30" s="3">
        <v>1</v>
      </c>
      <c r="D30" s="3">
        <v>1</v>
      </c>
      <c r="F30" s="3">
        <v>28</v>
      </c>
      <c r="G30" s="3">
        <v>14</v>
      </c>
      <c r="H30" s="3">
        <v>13</v>
      </c>
      <c r="I30" s="3">
        <v>13</v>
      </c>
    </row>
    <row r="31" spans="1:9" x14ac:dyDescent="0.25">
      <c r="A31" s="3">
        <v>29</v>
      </c>
      <c r="B31" s="3">
        <v>1</v>
      </c>
      <c r="C31" s="3">
        <v>1</v>
      </c>
      <c r="D31" s="3">
        <v>2</v>
      </c>
      <c r="F31" s="3">
        <v>29</v>
      </c>
      <c r="G31" s="3">
        <v>13</v>
      </c>
      <c r="H31" s="3">
        <v>17</v>
      </c>
      <c r="I31" s="3">
        <v>17</v>
      </c>
    </row>
    <row r="32" spans="1:9" x14ac:dyDescent="0.25">
      <c r="A32" s="3">
        <v>30</v>
      </c>
      <c r="B32" s="3">
        <v>2</v>
      </c>
      <c r="C32" s="3">
        <v>1</v>
      </c>
      <c r="D32" s="3">
        <v>1</v>
      </c>
      <c r="F32" s="3">
        <v>30</v>
      </c>
      <c r="G32" s="3">
        <v>12</v>
      </c>
      <c r="H32" s="3">
        <v>19</v>
      </c>
      <c r="I32" s="3">
        <v>14</v>
      </c>
    </row>
    <row r="33" spans="1:9" x14ac:dyDescent="0.25">
      <c r="A33" s="3">
        <v>31</v>
      </c>
      <c r="B33" s="3">
        <v>1</v>
      </c>
      <c r="C33" s="3">
        <v>1</v>
      </c>
      <c r="D33" s="3">
        <v>2</v>
      </c>
      <c r="F33" s="3">
        <v>31</v>
      </c>
      <c r="G33" s="3">
        <v>19</v>
      </c>
      <c r="H33" s="3">
        <v>18</v>
      </c>
      <c r="I33" s="3">
        <v>14</v>
      </c>
    </row>
    <row r="34" spans="1:9" x14ac:dyDescent="0.25">
      <c r="A34" s="3">
        <v>32</v>
      </c>
      <c r="B34" s="3">
        <v>1</v>
      </c>
      <c r="C34" s="3">
        <v>1</v>
      </c>
      <c r="D34" s="3">
        <v>1</v>
      </c>
      <c r="F34" s="3">
        <v>32</v>
      </c>
      <c r="G34" s="3">
        <v>23</v>
      </c>
      <c r="H34" s="3">
        <v>13</v>
      </c>
      <c r="I34" s="3">
        <v>6</v>
      </c>
    </row>
    <row r="35" spans="1:9" x14ac:dyDescent="0.25">
      <c r="A35" s="3">
        <v>33</v>
      </c>
      <c r="B35" s="3">
        <v>1</v>
      </c>
      <c r="C35" s="3">
        <v>1</v>
      </c>
      <c r="D35" s="3">
        <v>1</v>
      </c>
      <c r="F35" s="3">
        <v>33</v>
      </c>
      <c r="G35" s="3">
        <v>15</v>
      </c>
      <c r="H35" s="3">
        <v>22</v>
      </c>
      <c r="I35" s="3">
        <v>4</v>
      </c>
    </row>
    <row r="36" spans="1:9" x14ac:dyDescent="0.25">
      <c r="A36" s="3">
        <v>34</v>
      </c>
      <c r="B36" s="3">
        <v>2</v>
      </c>
      <c r="C36" s="3">
        <v>2</v>
      </c>
      <c r="D36" s="3">
        <v>1</v>
      </c>
      <c r="F36" s="3">
        <v>34</v>
      </c>
      <c r="G36" s="3">
        <v>13</v>
      </c>
      <c r="H36" s="3">
        <v>14</v>
      </c>
      <c r="I36" s="3">
        <v>5</v>
      </c>
    </row>
    <row r="37" spans="1:9" x14ac:dyDescent="0.25">
      <c r="A37" s="3">
        <v>35</v>
      </c>
      <c r="B37" s="3">
        <v>1</v>
      </c>
      <c r="C37" s="3">
        <v>1</v>
      </c>
      <c r="D37" s="3">
        <v>2</v>
      </c>
      <c r="F37" s="3">
        <v>35</v>
      </c>
      <c r="G37" s="3">
        <v>7</v>
      </c>
      <c r="H37" s="3">
        <v>13</v>
      </c>
      <c r="I37" s="3">
        <v>5</v>
      </c>
    </row>
    <row r="38" spans="1:9" x14ac:dyDescent="0.25">
      <c r="A38" s="3">
        <v>36</v>
      </c>
      <c r="B38" s="3">
        <v>2</v>
      </c>
      <c r="C38" s="3">
        <v>1</v>
      </c>
      <c r="D38" s="3">
        <v>2</v>
      </c>
      <c r="F38" s="3">
        <v>36</v>
      </c>
      <c r="G38" s="3">
        <v>13</v>
      </c>
      <c r="H38" s="3">
        <v>21</v>
      </c>
      <c r="I38" s="3">
        <v>12</v>
      </c>
    </row>
    <row r="39" spans="1:9" x14ac:dyDescent="0.25">
      <c r="A39" s="3">
        <v>37</v>
      </c>
      <c r="B39" s="3">
        <v>1</v>
      </c>
      <c r="C39" s="3">
        <v>2</v>
      </c>
      <c r="D39" s="3">
        <v>2</v>
      </c>
      <c r="F39" s="3">
        <v>37</v>
      </c>
      <c r="G39" s="3">
        <v>13</v>
      </c>
      <c r="H39" s="3">
        <v>18</v>
      </c>
      <c r="I39" s="3">
        <v>11</v>
      </c>
    </row>
    <row r="40" spans="1:9" x14ac:dyDescent="0.25">
      <c r="A40" s="3">
        <v>38</v>
      </c>
      <c r="B40" s="3">
        <v>2</v>
      </c>
      <c r="C40" s="3">
        <v>2</v>
      </c>
      <c r="D40" s="3">
        <v>2</v>
      </c>
      <c r="F40" s="3">
        <v>38</v>
      </c>
      <c r="G40" s="3">
        <v>7</v>
      </c>
      <c r="H40" s="3">
        <v>18</v>
      </c>
      <c r="I40" s="3">
        <v>22</v>
      </c>
    </row>
    <row r="41" spans="1:9" x14ac:dyDescent="0.25">
      <c r="A41" s="3">
        <v>39</v>
      </c>
      <c r="B41" s="3">
        <v>1</v>
      </c>
      <c r="C41" s="3">
        <v>1</v>
      </c>
      <c r="D41" s="3">
        <v>1</v>
      </c>
      <c r="F41" s="3">
        <v>39</v>
      </c>
      <c r="G41" s="3">
        <v>14</v>
      </c>
      <c r="H41" s="3">
        <v>15</v>
      </c>
      <c r="I41" s="3">
        <v>20</v>
      </c>
    </row>
    <row r="42" spans="1:9" x14ac:dyDescent="0.25">
      <c r="A42" s="4">
        <v>40</v>
      </c>
      <c r="B42" s="4">
        <v>1</v>
      </c>
      <c r="C42" s="4">
        <v>1</v>
      </c>
      <c r="D42" s="4">
        <v>1</v>
      </c>
      <c r="F42" s="4">
        <v>40</v>
      </c>
      <c r="G42" s="4">
        <v>13</v>
      </c>
      <c r="H42" s="4">
        <v>12</v>
      </c>
      <c r="I42" s="4">
        <v>15</v>
      </c>
    </row>
    <row r="44" spans="1:9" x14ac:dyDescent="0.25">
      <c r="A44" t="s">
        <v>16</v>
      </c>
      <c r="B44">
        <f>AVERAGE(B3:B42)</f>
        <v>1.375</v>
      </c>
      <c r="C44">
        <f t="shared" ref="C44:I44" si="0">AVERAGE(C3:C42)</f>
        <v>1.5249999999999999</v>
      </c>
      <c r="D44">
        <f t="shared" si="0"/>
        <v>1.325</v>
      </c>
      <c r="G44">
        <f t="shared" si="0"/>
        <v>13.875</v>
      </c>
      <c r="H44">
        <f t="shared" si="0"/>
        <v>16.225000000000001</v>
      </c>
      <c r="I44">
        <f t="shared" si="0"/>
        <v>12.824999999999999</v>
      </c>
    </row>
    <row r="47" spans="1:9" x14ac:dyDescent="0.25">
      <c r="B47" t="s">
        <v>1</v>
      </c>
      <c r="C47" t="s">
        <v>2</v>
      </c>
    </row>
    <row r="48" spans="1:9" x14ac:dyDescent="0.25">
      <c r="A48" t="s">
        <v>13</v>
      </c>
      <c r="B48">
        <v>1.375</v>
      </c>
      <c r="C48">
        <v>13.875</v>
      </c>
    </row>
    <row r="49" spans="1:3" x14ac:dyDescent="0.25">
      <c r="A49" t="s">
        <v>14</v>
      </c>
      <c r="B49">
        <v>1.5249999999999999</v>
      </c>
      <c r="C49">
        <v>16.225000000000001</v>
      </c>
    </row>
    <row r="50" spans="1:3" x14ac:dyDescent="0.25">
      <c r="A50" t="s">
        <v>15</v>
      </c>
      <c r="B50">
        <v>1.325</v>
      </c>
      <c r="C50">
        <v>12.824999999999999</v>
      </c>
    </row>
    <row r="51" spans="1:3" x14ac:dyDescent="0.25">
      <c r="B51" t="s">
        <v>1</v>
      </c>
      <c r="C51" t="s">
        <v>2</v>
      </c>
    </row>
    <row r="52" spans="1:3" x14ac:dyDescent="0.25">
      <c r="A52" t="s">
        <v>3</v>
      </c>
      <c r="B52">
        <f>MIN(B48:B50)</f>
        <v>1.325</v>
      </c>
      <c r="C52">
        <f>MIN(C48:C50)</f>
        <v>12.824999999999999</v>
      </c>
    </row>
    <row r="53" spans="1:3" x14ac:dyDescent="0.25">
      <c r="A53" t="s">
        <v>4</v>
      </c>
      <c r="B53">
        <f>QUARTILE(B48:B50,1)</f>
        <v>1.35</v>
      </c>
      <c r="C53">
        <f>QUARTILE(C48:C50,1)</f>
        <v>13.35</v>
      </c>
    </row>
    <row r="54" spans="1:3" x14ac:dyDescent="0.25">
      <c r="A54" t="s">
        <v>0</v>
      </c>
      <c r="B54">
        <f>MEDIAN(B48:B50)</f>
        <v>1.375</v>
      </c>
      <c r="C54">
        <f>MEDIAN(C48:C50)</f>
        <v>13.875</v>
      </c>
    </row>
    <row r="55" spans="1:3" x14ac:dyDescent="0.25">
      <c r="A55" t="s">
        <v>5</v>
      </c>
      <c r="B55">
        <f>QUARTILE(B48:B50,3)</f>
        <v>1.45</v>
      </c>
      <c r="C55">
        <f>QUARTILE(C48:C50,3)</f>
        <v>15.05</v>
      </c>
    </row>
    <row r="56" spans="1:3" x14ac:dyDescent="0.25">
      <c r="A56" t="s">
        <v>6</v>
      </c>
      <c r="B56">
        <f>MAX(B48:B50)</f>
        <v>1.5249999999999999</v>
      </c>
      <c r="C56">
        <f>MAX(C48:C50)</f>
        <v>16.225000000000001</v>
      </c>
    </row>
    <row r="57" spans="1:3" x14ac:dyDescent="0.25">
      <c r="A57" t="s">
        <v>7</v>
      </c>
      <c r="B57">
        <f>B53</f>
        <v>1.35</v>
      </c>
      <c r="C57">
        <f>C53</f>
        <v>13.35</v>
      </c>
    </row>
    <row r="58" spans="1:3" x14ac:dyDescent="0.25">
      <c r="A58" t="s">
        <v>8</v>
      </c>
      <c r="B58">
        <f>B54-B53</f>
        <v>2.4999999999999911E-2</v>
      </c>
      <c r="C58">
        <f>C54-C53</f>
        <v>0.52500000000000036</v>
      </c>
    </row>
    <row r="59" spans="1:3" x14ac:dyDescent="0.25">
      <c r="A59" t="s">
        <v>9</v>
      </c>
      <c r="B59">
        <f>B55-B54</f>
        <v>7.4999999999999956E-2</v>
      </c>
      <c r="C59">
        <f>C55-C54</f>
        <v>1.1750000000000007</v>
      </c>
    </row>
    <row r="60" spans="1:3" x14ac:dyDescent="0.25">
      <c r="A60" t="s">
        <v>10</v>
      </c>
      <c r="B60">
        <f>B53-B52</f>
        <v>2.5000000000000133E-2</v>
      </c>
      <c r="C60">
        <f>C53-C52</f>
        <v>0.52500000000000036</v>
      </c>
    </row>
    <row r="61" spans="1:3" x14ac:dyDescent="0.25">
      <c r="A61" t="s">
        <v>11</v>
      </c>
      <c r="B61">
        <f>B56-B55</f>
        <v>7.4999999999999956E-2</v>
      </c>
      <c r="C61">
        <f>C56-C55</f>
        <v>1.1750000000000007</v>
      </c>
    </row>
    <row r="63" spans="1:3" x14ac:dyDescent="0.25">
      <c r="A63" t="s">
        <v>12</v>
      </c>
      <c r="C63">
        <f>TTEST(B48:B50,C48:C50,2,2)</f>
        <v>2.1396152683140221E-4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Wamp, Sabrina</dc:creator>
  <cp:lastModifiedBy>Halbedel, Sven</cp:lastModifiedBy>
  <dcterms:created xsi:type="dcterms:W3CDTF">2023-11-08T17:19:41Z</dcterms:created>
  <dcterms:modified xsi:type="dcterms:W3CDTF">2026-01-22T08:40:31Z</dcterms:modified>
</cp:coreProperties>
</file>