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schungsdaten\MF\MF4\OpenData_Team\publishing-dev\publications\Supplementary_raw_data_-_cell_chaining_in_attenuated_Listeria_monocytogenes_mutants\"/>
    </mc:Choice>
  </mc:AlternateContent>
  <xr:revisionPtr revIDLastSave="0" documentId="13_ncr:1_{EE30BB71-F44C-4BBA-BDA8-BA19C2F4CE4A}" xr6:coauthVersionLast="47" xr6:coauthVersionMax="47" xr10:uidLastSave="{00000000-0000-0000-0000-000000000000}"/>
  <bookViews>
    <workbookView xWindow="-120" yWindow="-120" windowWidth="29040" windowHeight="17640" xr2:uid="{1B5AA81B-1097-44B2-952D-0CD5A92A570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12" i="1"/>
  <c r="E17" i="1" s="1"/>
  <c r="E18" i="1" s="1"/>
  <c r="B12" i="1"/>
  <c r="E11" i="1"/>
  <c r="D11" i="1"/>
  <c r="D14" i="1" s="1"/>
  <c r="C11" i="1"/>
  <c r="B11" i="1"/>
  <c r="E10" i="1"/>
  <c r="E13" i="1" s="1"/>
  <c r="D10" i="1"/>
  <c r="D13" i="1" s="1"/>
  <c r="C10" i="1"/>
  <c r="D17" i="1" s="1"/>
  <c r="D18" i="1" s="1"/>
  <c r="B10" i="1"/>
  <c r="C15" i="1" s="1"/>
  <c r="C16" i="1" s="1"/>
  <c r="E6" i="1"/>
  <c r="D6" i="1"/>
  <c r="C6" i="1"/>
  <c r="B6" i="1"/>
  <c r="B13" i="1" l="1"/>
  <c r="D15" i="1"/>
  <c r="D16" i="1" s="1"/>
  <c r="B14" i="1"/>
  <c r="E14" i="1"/>
  <c r="E15" i="1"/>
  <c r="E16" i="1" s="1"/>
  <c r="C13" i="1"/>
  <c r="C14" i="1"/>
</calcChain>
</file>

<file path=xl/sharedStrings.xml><?xml version="1.0" encoding="utf-8"?>
<sst xmlns="http://schemas.openxmlformats.org/spreadsheetml/2006/main" count="23" uniqueCount="15">
  <si>
    <t xml:space="preserve">i </t>
  </si>
  <si>
    <t>ii</t>
  </si>
  <si>
    <t>iii</t>
  </si>
  <si>
    <t>avg</t>
  </si>
  <si>
    <t>s</t>
  </si>
  <si>
    <t>P vs wt</t>
  </si>
  <si>
    <t>with BH</t>
  </si>
  <si>
    <t>P vs divIVA</t>
  </si>
  <si>
    <t>invasion rates</t>
  </si>
  <si>
    <t>relative invasion rates</t>
  </si>
  <si>
    <t>BH</t>
  </si>
  <si>
    <t>wt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</si>
  <si>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</si>
  <si>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secA2 M95I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</si>
  <si>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secA2 T123A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</si>
</sst>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Tabelle1!$B$14:$E$14</c:f>
                <c:numCache>
                  <c:formatCode>General</c:formatCode>
                  <c:ptCount val="4"/>
                  <c:pt idx="0">
                    <c:v>0.17075289358340051</c:v>
                  </c:pt>
                  <c:pt idx="1">
                    <c:v>3.1685440315934437E-3</c:v>
                  </c:pt>
                  <c:pt idx="2">
                    <c:v>7.3027326468362838E-2</c:v>
                  </c:pt>
                  <c:pt idx="3">
                    <c:v>3.2882400144355131E-2</c:v>
                  </c:pt>
                </c:numCache>
              </c:numRef>
            </c:plus>
            <c:minus>
              <c:numRef>
                <c:f>Tabelle1!$B$14:$E$14</c:f>
                <c:numCache>
                  <c:formatCode>General</c:formatCode>
                  <c:ptCount val="4"/>
                  <c:pt idx="0">
                    <c:v>0.17075289358340051</c:v>
                  </c:pt>
                  <c:pt idx="1">
                    <c:v>3.1685440315934437E-3</c:v>
                  </c:pt>
                  <c:pt idx="2">
                    <c:v>7.3027326468362838E-2</c:v>
                  </c:pt>
                  <c:pt idx="3">
                    <c:v>3.2882400144355131E-2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Tabelle1!$B$9:$E$9</c:f>
              <c:strCache>
                <c:ptCount val="4"/>
                <c:pt idx="0">
                  <c:v>wt</c:v>
                </c:pt>
                <c:pt idx="1">
                  <c:v>ΔdivIVA</c:v>
                </c:pt>
                <c:pt idx="2">
                  <c:v>ΔdivIVA secA2 M95I</c:v>
                </c:pt>
                <c:pt idx="3">
                  <c:v>ΔdivIVA secA2 T123A</c:v>
                </c:pt>
              </c:strCache>
            </c:strRef>
          </c:cat>
          <c:val>
            <c:numRef>
              <c:f>Tabelle1!$B$13:$E$13</c:f>
              <c:numCache>
                <c:formatCode>General</c:formatCode>
                <c:ptCount val="4"/>
                <c:pt idx="0">
                  <c:v>0.99999999758204516</c:v>
                </c:pt>
                <c:pt idx="1">
                  <c:v>2.4859697679263965E-2</c:v>
                </c:pt>
                <c:pt idx="2">
                  <c:v>0.73201146508258708</c:v>
                </c:pt>
                <c:pt idx="3">
                  <c:v>0.54873684393151778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2-4EFA-9A4A-EA8BD0AC7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037520"/>
        <c:axId val="527037848"/>
      </c:barChart>
      <c:catAx>
        <c:axId val="527037520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037848"/>
        <c:crossesAt val="1.0000000000000002E-3"/>
        <c:auto val="1"/>
        <c:lblAlgn val="ctr"/>
        <c:lblOffset val="100"/>
        <c:noMultiLvlLbl val="0"/>
      </c:catAx>
      <c:valAx>
        <c:axId val="527037848"/>
        <c:scaling>
          <c:logBase val="10"/>
          <c:orientation val="minMax"/>
          <c:max val="10"/>
          <c:min val="1.0000000000000002E-3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03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19</xdr:row>
      <xdr:rowOff>133350</xdr:rowOff>
    </xdr:from>
    <xdr:to>
      <xdr:col>5</xdr:col>
      <xdr:colOff>9525</xdr:colOff>
      <xdr:row>34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8E01020-0DF2-4CEC-B111-8886FF262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D619-11AF-4FEB-900F-B0F78434F13A}">
  <dimension ref="A1:E18"/>
  <sheetViews>
    <sheetView tabSelected="1" workbookViewId="0">
      <selection sqref="A1:E18"/>
    </sheetView>
  </sheetViews>
  <sheetFormatPr baseColWidth="10" defaultRowHeight="15" x14ac:dyDescent="0.25"/>
  <cols>
    <col min="1" max="1" width="20.7109375" bestFit="1" customWidth="1"/>
    <col min="2" max="3" width="12" bestFit="1" customWidth="1"/>
    <col min="4" max="4" width="18.42578125" bestFit="1" customWidth="1"/>
    <col min="5" max="5" width="19.42578125" bestFit="1" customWidth="1"/>
  </cols>
  <sheetData>
    <row r="1" spans="1:5" x14ac:dyDescent="0.25">
      <c r="A1" t="s">
        <v>8</v>
      </c>
    </row>
    <row r="2" spans="1:5" x14ac:dyDescent="0.25">
      <c r="A2" s="1"/>
      <c r="B2" s="1" t="s">
        <v>11</v>
      </c>
      <c r="C2" s="1" t="s">
        <v>12</v>
      </c>
      <c r="D2" s="1" t="s">
        <v>13</v>
      </c>
      <c r="E2" s="1" t="s">
        <v>14</v>
      </c>
    </row>
    <row r="3" spans="1:5" x14ac:dyDescent="0.25">
      <c r="A3" s="2" t="s">
        <v>0</v>
      </c>
      <c r="B3" s="2">
        <v>2.085360459973463</v>
      </c>
      <c r="C3" s="2">
        <v>3.7651598676957006E-2</v>
      </c>
      <c r="D3" s="2">
        <v>1.3940190601380216</v>
      </c>
      <c r="E3" s="2">
        <v>0.91685912240184764</v>
      </c>
    </row>
    <row r="4" spans="1:5" x14ac:dyDescent="0.25">
      <c r="A4" s="3" t="s">
        <v>1</v>
      </c>
      <c r="B4" s="3">
        <v>1.6801007556675063</v>
      </c>
      <c r="C4" s="3">
        <v>4.460511679644049E-2</v>
      </c>
      <c r="D4" s="3">
        <v>1.1437109481119261</v>
      </c>
      <c r="E4" s="3">
        <v>0.94479830148619959</v>
      </c>
    </row>
    <row r="5" spans="1:5" x14ac:dyDescent="0.25">
      <c r="A5" s="4" t="s">
        <v>2</v>
      </c>
      <c r="B5" s="4">
        <v>1.5002344116268167</v>
      </c>
      <c r="C5" s="4">
        <v>4.8646886208020872E-2</v>
      </c>
      <c r="D5" s="4">
        <v>1.3168195718654434</v>
      </c>
      <c r="E5" s="4">
        <v>1.0278237827095065</v>
      </c>
    </row>
    <row r="6" spans="1:5" x14ac:dyDescent="0.25">
      <c r="A6" s="1" t="s">
        <v>3</v>
      </c>
      <c r="B6" s="1">
        <f>AVERAGE(B3:B5)</f>
        <v>1.7552318757559286</v>
      </c>
      <c r="C6" s="1">
        <f t="shared" ref="C6:E6" si="0">AVERAGE(C3:C5)</f>
        <v>4.3634533893806123E-2</v>
      </c>
      <c r="D6" s="1">
        <f t="shared" si="0"/>
        <v>1.2848498600384637</v>
      </c>
      <c r="E6" s="1">
        <f t="shared" si="0"/>
        <v>0.96316040219918453</v>
      </c>
    </row>
    <row r="8" spans="1:5" x14ac:dyDescent="0.25">
      <c r="A8" t="s">
        <v>9</v>
      </c>
    </row>
    <row r="9" spans="1:5" x14ac:dyDescent="0.25">
      <c r="A9" s="1"/>
      <c r="B9" s="1" t="s">
        <v>11</v>
      </c>
      <c r="C9" s="1" t="s">
        <v>12</v>
      </c>
      <c r="D9" s="1" t="s">
        <v>13</v>
      </c>
      <c r="E9" s="1" t="s">
        <v>14</v>
      </c>
    </row>
    <row r="10" spans="1:5" x14ac:dyDescent="0.25">
      <c r="A10" s="2" t="s">
        <v>0</v>
      </c>
      <c r="B10" s="2">
        <f>B3/1.75523188</f>
        <v>1.1880826024954965</v>
      </c>
      <c r="C10" s="2">
        <f t="shared" ref="C10:E10" si="1">C3/1.75523188</f>
        <v>2.1451068150013894E-2</v>
      </c>
      <c r="D10" s="2">
        <f t="shared" si="1"/>
        <v>0.79420791977526162</v>
      </c>
      <c r="E10" s="2">
        <f t="shared" si="1"/>
        <v>0.52235783365662647</v>
      </c>
    </row>
    <row r="11" spans="1:5" x14ac:dyDescent="0.25">
      <c r="A11" s="3" t="s">
        <v>1</v>
      </c>
      <c r="B11" s="3">
        <f t="shared" ref="B11:E12" si="2">B4/1.75523188</f>
        <v>0.95719589805280103</v>
      </c>
      <c r="C11" s="3">
        <f t="shared" si="2"/>
        <v>2.5412663309442904E-2</v>
      </c>
      <c r="D11" s="3">
        <f t="shared" si="2"/>
        <v>0.65160105689963088</v>
      </c>
      <c r="E11" s="3">
        <f t="shared" si="2"/>
        <v>0.53827549069254577</v>
      </c>
    </row>
    <row r="12" spans="1:5" x14ac:dyDescent="0.25">
      <c r="A12" s="4" t="s">
        <v>2</v>
      </c>
      <c r="B12" s="4">
        <f t="shared" si="2"/>
        <v>0.85472149219783811</v>
      </c>
      <c r="C12" s="4">
        <f t="shared" si="2"/>
        <v>2.7715361578335092E-2</v>
      </c>
      <c r="D12" s="4">
        <f t="shared" si="2"/>
        <v>0.75022541857286884</v>
      </c>
      <c r="E12" s="4">
        <f t="shared" si="2"/>
        <v>0.58557720744538122</v>
      </c>
    </row>
    <row r="13" spans="1:5" x14ac:dyDescent="0.25">
      <c r="A13" s="1" t="s">
        <v>3</v>
      </c>
      <c r="B13" s="1">
        <f>AVERAGE(B10:B12)</f>
        <v>0.99999999758204516</v>
      </c>
      <c r="C13" s="1">
        <f t="shared" ref="C13:E13" si="3">AVERAGE(C10:C12)</f>
        <v>2.4859697679263965E-2</v>
      </c>
      <c r="D13" s="1">
        <f t="shared" si="3"/>
        <v>0.73201146508258708</v>
      </c>
      <c r="E13" s="1">
        <f t="shared" si="3"/>
        <v>0.54873684393151778</v>
      </c>
    </row>
    <row r="14" spans="1:5" x14ac:dyDescent="0.25">
      <c r="A14" s="1" t="s">
        <v>4</v>
      </c>
      <c r="B14" s="1">
        <f>STDEV(B10:B12)</f>
        <v>0.17075289358340051</v>
      </c>
      <c r="C14" s="1">
        <f t="shared" ref="C14:E14" si="4">STDEV(C10:C12)</f>
        <v>3.1685440315934437E-3</v>
      </c>
      <c r="D14" s="1">
        <f t="shared" si="4"/>
        <v>7.3027326468362838E-2</v>
      </c>
      <c r="E14" s="1">
        <f t="shared" si="4"/>
        <v>3.2882400144355131E-2</v>
      </c>
    </row>
    <row r="15" spans="1:5" x14ac:dyDescent="0.25">
      <c r="A15" s="1" t="s">
        <v>5</v>
      </c>
      <c r="B15" s="1"/>
      <c r="C15" s="1">
        <f>TTEST($B$10:$B$12,C10:C12,2,2)</f>
        <v>5.8664385924746992E-4</v>
      </c>
      <c r="D15" s="1">
        <f t="shared" ref="D15:E15" si="5">TTEST($B$10:$B$12,D10:D12,2,2)</f>
        <v>6.6810454214169313E-2</v>
      </c>
      <c r="E15" s="1">
        <f t="shared" si="5"/>
        <v>1.086531835861012E-2</v>
      </c>
    </row>
    <row r="16" spans="1:5" x14ac:dyDescent="0.25">
      <c r="A16" s="1" t="s">
        <v>10</v>
      </c>
      <c r="B16" s="1"/>
      <c r="C16" s="1">
        <f>C15*3</f>
        <v>1.7599315777424096E-3</v>
      </c>
      <c r="D16" s="1">
        <f>D15*1</f>
        <v>6.6810454214169313E-2</v>
      </c>
      <c r="E16" s="1">
        <f>E15*2</f>
        <v>2.1730636717220239E-2</v>
      </c>
    </row>
    <row r="17" spans="1:5" x14ac:dyDescent="0.25">
      <c r="A17" s="1" t="s">
        <v>7</v>
      </c>
      <c r="B17" s="1"/>
      <c r="C17" s="1"/>
      <c r="D17" s="1">
        <f>TTEST($C$10:$C$12,D10:D12,2,2)</f>
        <v>7.4334667894495837E-5</v>
      </c>
      <c r="E17" s="1">
        <f>TTEST($C$10:$C$12,E10:E12,2,2)</f>
        <v>1.0448283971437137E-5</v>
      </c>
    </row>
    <row r="18" spans="1:5" x14ac:dyDescent="0.25">
      <c r="A18" s="1" t="s">
        <v>6</v>
      </c>
      <c r="B18" s="1"/>
      <c r="C18" s="1"/>
      <c r="D18" s="1">
        <f>D17*1</f>
        <v>7.4334667894495837E-5</v>
      </c>
      <c r="E18" s="1">
        <f>E17*2</f>
        <v>2.0896567942874273E-5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Feßer, Anna</cp:lastModifiedBy>
  <dcterms:created xsi:type="dcterms:W3CDTF">2026-01-22T10:22:11Z</dcterms:created>
  <dcterms:modified xsi:type="dcterms:W3CDTF">2026-05-21T07:40:33Z</dcterms:modified>
</cp:coreProperties>
</file>