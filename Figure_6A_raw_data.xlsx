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2DEA057A-D753-41EF-8BF7-BD142871C18D}" xr6:coauthVersionLast="36" xr6:coauthVersionMax="36" xr10:uidLastSave="{00000000-0000-0000-0000-000000000000}"/>
  <bookViews>
    <workbookView xWindow="0" yWindow="0" windowWidth="28800" windowHeight="12705" xr2:uid="{3C82D8B5-B035-4913-B567-3A21CDA231F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G15" i="1"/>
  <c r="H15" i="1"/>
  <c r="F15" i="1"/>
  <c r="D15" i="1"/>
  <c r="C15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B10" i="1"/>
  <c r="B11" i="1"/>
  <c r="B9" i="1"/>
</calcChain>
</file>

<file path=xl/sharedStrings.xml><?xml version="1.0" encoding="utf-8"?>
<sst xmlns="http://schemas.openxmlformats.org/spreadsheetml/2006/main" count="26" uniqueCount="16">
  <si>
    <t>WT</t>
  </si>
  <si>
    <t>∆prfA</t>
  </si>
  <si>
    <t>i</t>
  </si>
  <si>
    <t>ii</t>
  </si>
  <si>
    <t>iii</t>
  </si>
  <si>
    <t>avg</t>
  </si>
  <si>
    <t>s</t>
  </si>
  <si>
    <t>P vs wt</t>
  </si>
  <si>
    <t>BH</t>
  </si>
  <si>
    <t>invasion rates</t>
  </si>
  <si>
    <t>∆divIVA</t>
  </si>
  <si>
    <t>imreB - IPTG</t>
  </si>
  <si>
    <t>imreB + IPTG</t>
  </si>
  <si>
    <t>iezrA - IPTG</t>
  </si>
  <si>
    <t>iezrA + IPTG</t>
  </si>
  <si>
    <t>relative invasion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</si>
</sst>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Tabelle1!$B$13:$H$13</c:f>
                <c:numCache>
                  <c:formatCode>General</c:formatCode>
                  <c:ptCount val="7"/>
                  <c:pt idx="0">
                    <c:v>0.19674296181947593</c:v>
                  </c:pt>
                  <c:pt idx="1">
                    <c:v>8.7522948967753793E-4</c:v>
                  </c:pt>
                  <c:pt idx="2">
                    <c:v>2.5649515125692395E-2</c:v>
                  </c:pt>
                  <c:pt idx="3">
                    <c:v>8.0067694102979425E-2</c:v>
                  </c:pt>
                  <c:pt idx="4">
                    <c:v>0.17876525631287327</c:v>
                  </c:pt>
                  <c:pt idx="5">
                    <c:v>1.0381400845304902</c:v>
                  </c:pt>
                  <c:pt idx="6">
                    <c:v>0.10966008515299863</c:v>
                  </c:pt>
                </c:numCache>
              </c:numRef>
            </c:plus>
            <c:minus>
              <c:numRef>
                <c:f>Tabelle1!$B$13:$H$13</c:f>
                <c:numCache>
                  <c:formatCode>General</c:formatCode>
                  <c:ptCount val="7"/>
                  <c:pt idx="0">
                    <c:v>0.19674296181947593</c:v>
                  </c:pt>
                  <c:pt idx="1">
                    <c:v>8.7522948967753793E-4</c:v>
                  </c:pt>
                  <c:pt idx="2">
                    <c:v>2.5649515125692395E-2</c:v>
                  </c:pt>
                  <c:pt idx="3">
                    <c:v>8.0067694102979425E-2</c:v>
                  </c:pt>
                  <c:pt idx="4">
                    <c:v>0.17876525631287327</c:v>
                  </c:pt>
                  <c:pt idx="5">
                    <c:v>1.0381400845304902</c:v>
                  </c:pt>
                  <c:pt idx="6">
                    <c:v>0.10966008515299863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Tabelle1!$B$8:$H$8</c:f>
              <c:strCache>
                <c:ptCount val="7"/>
                <c:pt idx="0">
                  <c:v>WT</c:v>
                </c:pt>
                <c:pt idx="1">
                  <c:v>∆prfA</c:v>
                </c:pt>
                <c:pt idx="2">
                  <c:v>∆divIVA</c:v>
                </c:pt>
                <c:pt idx="3">
                  <c:v>imreB - IPTG</c:v>
                </c:pt>
                <c:pt idx="4">
                  <c:v>imreB + IPTG</c:v>
                </c:pt>
                <c:pt idx="5">
                  <c:v>iezrA - IPTG</c:v>
                </c:pt>
                <c:pt idx="6">
                  <c:v>iezrA + IPTG</c:v>
                </c:pt>
              </c:strCache>
            </c:strRef>
          </c:cat>
          <c:val>
            <c:numRef>
              <c:f>Tabelle1!$B$12:$H$12</c:f>
              <c:numCache>
                <c:formatCode>General</c:formatCode>
                <c:ptCount val="7"/>
                <c:pt idx="0">
                  <c:v>1.0000000084006677</c:v>
                </c:pt>
                <c:pt idx="1">
                  <c:v>1.0101082547216702E-3</c:v>
                </c:pt>
                <c:pt idx="2">
                  <c:v>6.6556593222772464E-2</c:v>
                </c:pt>
                <c:pt idx="3">
                  <c:v>1.0276919260599995</c:v>
                </c:pt>
                <c:pt idx="4">
                  <c:v>1.4417727735095611</c:v>
                </c:pt>
                <c:pt idx="5">
                  <c:v>2.5257638906485274</c:v>
                </c:pt>
                <c:pt idx="6">
                  <c:v>0.62749265034464707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2-4BAE-B155-D1795A105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615288"/>
        <c:axId val="830618240"/>
      </c:barChart>
      <c:catAx>
        <c:axId val="83061528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830618240"/>
        <c:crossesAt val="1.0000000000000003E-4"/>
        <c:auto val="1"/>
        <c:lblAlgn val="ctr"/>
        <c:lblOffset val="100"/>
        <c:noMultiLvlLbl val="0"/>
      </c:catAx>
      <c:valAx>
        <c:axId val="830618240"/>
        <c:scaling>
          <c:logBase val="10"/>
          <c:orientation val="minMax"/>
          <c:min val="1.0000000000000003E-4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83061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17</xdr:row>
      <xdr:rowOff>61912</xdr:rowOff>
    </xdr:from>
    <xdr:to>
      <xdr:col>7</xdr:col>
      <xdr:colOff>200025</xdr:colOff>
      <xdr:row>31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252724D-4AFF-41DB-BCDB-BA8FFD3EF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91E8-7F4D-4262-8655-316FAC227296}">
  <dimension ref="A1:H15"/>
  <sheetViews>
    <sheetView tabSelected="1" workbookViewId="0">
      <selection activeCell="C15" sqref="C15:D15"/>
    </sheetView>
  </sheetViews>
  <sheetFormatPr baseColWidth="10" defaultRowHeight="15" x14ac:dyDescent="0.25"/>
  <cols>
    <col min="1" max="1" width="20.7109375" bestFit="1" customWidth="1"/>
    <col min="2" max="5" width="12" bestFit="1" customWidth="1"/>
    <col min="6" max="6" width="12.140625" bestFit="1" customWidth="1"/>
    <col min="7" max="8" width="12" bestFit="1" customWidth="1"/>
  </cols>
  <sheetData>
    <row r="1" spans="1:8" x14ac:dyDescent="0.25">
      <c r="A1" t="s">
        <v>9</v>
      </c>
    </row>
    <row r="2" spans="1:8" x14ac:dyDescent="0.25">
      <c r="A2" s="1"/>
      <c r="B2" s="1" t="s">
        <v>0</v>
      </c>
      <c r="C2" s="1" t="s">
        <v>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2" t="s">
        <v>2</v>
      </c>
      <c r="B3" s="2">
        <v>0.12540337711069419</v>
      </c>
      <c r="C3" s="2">
        <v>2.3060635226179017E-4</v>
      </c>
      <c r="D3" s="2">
        <v>6.7895065584009989E-3</v>
      </c>
      <c r="E3" s="2">
        <v>0.13975448536355051</v>
      </c>
      <c r="F3" s="2">
        <v>0.24627249357326478</v>
      </c>
      <c r="G3" s="2">
        <v>0.48527131782945737</v>
      </c>
      <c r="H3" s="2">
        <v>9.7469879518072289E-2</v>
      </c>
    </row>
    <row r="4" spans="1:8" x14ac:dyDescent="0.25">
      <c r="A4" s="3" t="s">
        <v>3</v>
      </c>
      <c r="B4" s="3">
        <v>0.14067665688243472</v>
      </c>
      <c r="C4" s="3">
        <v>2.2221877424359967E-4</v>
      </c>
      <c r="D4" s="3">
        <v>1.4210664565274495E-2</v>
      </c>
      <c r="E4" s="3">
        <v>0.16060315940641456</v>
      </c>
      <c r="F4" s="3">
        <v>0.19909474954737477</v>
      </c>
      <c r="G4" s="3">
        <v>0.44737254901960782</v>
      </c>
      <c r="H4" s="3">
        <v>0.10798534798534799</v>
      </c>
    </row>
    <row r="5" spans="1:8" x14ac:dyDescent="0.25">
      <c r="A5" s="4" t="s">
        <v>4</v>
      </c>
      <c r="B5" s="4">
        <v>0.18221362977283714</v>
      </c>
      <c r="C5" s="4">
        <v>0</v>
      </c>
      <c r="D5" s="4">
        <v>8.8367276492923707E-3</v>
      </c>
      <c r="E5" s="4">
        <v>0.16035013011592145</v>
      </c>
      <c r="F5" s="4">
        <v>0.20097035040431266</v>
      </c>
      <c r="G5" s="4">
        <v>0.19964007198560288</v>
      </c>
      <c r="H5" s="4">
        <v>7.5845749342681859E-2</v>
      </c>
    </row>
    <row r="7" spans="1:8" x14ac:dyDescent="0.25">
      <c r="A7" t="s">
        <v>15</v>
      </c>
    </row>
    <row r="8" spans="1:8" x14ac:dyDescent="0.25">
      <c r="A8" s="1"/>
      <c r="B8" s="1" t="s">
        <v>0</v>
      </c>
      <c r="C8" s="1" t="s">
        <v>1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</row>
    <row r="9" spans="1:8" x14ac:dyDescent="0.25">
      <c r="A9" s="2" t="s">
        <v>2</v>
      </c>
      <c r="B9" s="2">
        <f>B3/0.14943122</f>
        <v>0.83920466627184187</v>
      </c>
      <c r="C9" s="2">
        <f t="shared" ref="C9:H9" si="0">C3/0.14943122</f>
        <v>1.5432273942606516E-3</v>
      </c>
      <c r="D9" s="2">
        <f t="shared" si="0"/>
        <v>4.5435663032136114E-2</v>
      </c>
      <c r="E9" s="2">
        <f t="shared" si="0"/>
        <v>0.93524288541277056</v>
      </c>
      <c r="F9" s="2">
        <f t="shared" si="0"/>
        <v>1.6480658698581512</v>
      </c>
      <c r="G9" s="2">
        <f t="shared" si="0"/>
        <v>3.2474560391694411</v>
      </c>
      <c r="H9" s="2">
        <f t="shared" si="0"/>
        <v>0.65227252724077533</v>
      </c>
    </row>
    <row r="10" spans="1:8" x14ac:dyDescent="0.25">
      <c r="A10" s="3" t="s">
        <v>3</v>
      </c>
      <c r="B10" s="3">
        <f t="shared" ref="B10:H11" si="1">B4/0.14943122</f>
        <v>0.94141409594617986</v>
      </c>
      <c r="C10" s="3">
        <f t="shared" si="1"/>
        <v>1.487097369904359E-3</v>
      </c>
      <c r="D10" s="3">
        <f t="shared" si="1"/>
        <v>9.5098364085326306E-2</v>
      </c>
      <c r="E10" s="3">
        <f t="shared" si="1"/>
        <v>1.0747630877029215</v>
      </c>
      <c r="F10" s="3">
        <f t="shared" si="1"/>
        <v>1.3323504254825382</v>
      </c>
      <c r="G10" s="3">
        <f t="shared" si="1"/>
        <v>2.9938358866347192</v>
      </c>
      <c r="H10" s="3">
        <f t="shared" si="1"/>
        <v>0.72264248384874319</v>
      </c>
    </row>
    <row r="11" spans="1:8" x14ac:dyDescent="0.25">
      <c r="A11" s="4" t="s">
        <v>4</v>
      </c>
      <c r="B11" s="4">
        <f t="shared" si="1"/>
        <v>1.2193812629839811</v>
      </c>
      <c r="C11" s="4">
        <f t="shared" si="1"/>
        <v>0</v>
      </c>
      <c r="D11" s="4">
        <f t="shared" si="1"/>
        <v>5.9135752550854973E-2</v>
      </c>
      <c r="E11" s="4">
        <f t="shared" si="1"/>
        <v>1.0730698050643062</v>
      </c>
      <c r="F11" s="4">
        <f t="shared" si="1"/>
        <v>1.344902025187994</v>
      </c>
      <c r="G11" s="4">
        <f t="shared" si="1"/>
        <v>1.3359997461414213</v>
      </c>
      <c r="H11" s="4">
        <f t="shared" si="1"/>
        <v>0.50756293994442292</v>
      </c>
    </row>
    <row r="12" spans="1:8" x14ac:dyDescent="0.25">
      <c r="A12" s="1" t="s">
        <v>5</v>
      </c>
      <c r="B12" s="1">
        <v>1.0000000084006677</v>
      </c>
      <c r="C12" s="1">
        <v>1.0101082547216702E-3</v>
      </c>
      <c r="D12" s="1">
        <v>6.6556593222772464E-2</v>
      </c>
      <c r="E12" s="1">
        <v>1.0276919260599995</v>
      </c>
      <c r="F12" s="1">
        <v>1.4417727735095611</v>
      </c>
      <c r="G12" s="1">
        <v>2.5257638906485274</v>
      </c>
      <c r="H12" s="1">
        <v>0.62749265034464707</v>
      </c>
    </row>
    <row r="13" spans="1:8" x14ac:dyDescent="0.25">
      <c r="A13" s="1" t="s">
        <v>6</v>
      </c>
      <c r="B13" s="1">
        <v>0.19674296181947593</v>
      </c>
      <c r="C13" s="1">
        <v>8.7522948967753793E-4</v>
      </c>
      <c r="D13" s="1">
        <v>2.5649515125692395E-2</v>
      </c>
      <c r="E13" s="1">
        <v>8.0067694102979425E-2</v>
      </c>
      <c r="F13" s="1">
        <v>0.17876525631287327</v>
      </c>
      <c r="G13" s="1">
        <v>1.0381400845304902</v>
      </c>
      <c r="H13" s="1">
        <v>0.10966008515299863</v>
      </c>
    </row>
    <row r="14" spans="1:8" x14ac:dyDescent="0.25">
      <c r="A14" s="1" t="s">
        <v>7</v>
      </c>
      <c r="B14" s="1"/>
      <c r="C14" s="1">
        <v>9.2202475413063285E-4</v>
      </c>
      <c r="D14" s="1">
        <v>1.2342435894767958E-3</v>
      </c>
      <c r="E14" s="1">
        <v>0.83242063752899731</v>
      </c>
      <c r="F14" s="1">
        <v>4.5083579235365795E-2</v>
      </c>
      <c r="G14" s="1">
        <v>6.6688646153653899E-2</v>
      </c>
      <c r="H14" s="1">
        <v>4.572116636897889E-2</v>
      </c>
    </row>
    <row r="15" spans="1:8" x14ac:dyDescent="0.25">
      <c r="A15" s="1" t="s">
        <v>8</v>
      </c>
      <c r="B15" s="1"/>
      <c r="C15" s="5">
        <f>C14*6</f>
        <v>5.5321485247837969E-3</v>
      </c>
      <c r="D15" s="5">
        <f>D14*5</f>
        <v>6.1712179473839791E-3</v>
      </c>
      <c r="E15" s="1">
        <f>E14*1</f>
        <v>0.83242063752899731</v>
      </c>
      <c r="F15" s="1">
        <f>F14*4</f>
        <v>0.18033431694146318</v>
      </c>
      <c r="G15" s="1">
        <f>G14*2</f>
        <v>0.1333772923073078</v>
      </c>
      <c r="H15" s="1">
        <f>H14*3</f>
        <v>0.13716349910693668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2026-01-22T09:24:28Z</dcterms:created>
  <dcterms:modified xsi:type="dcterms:W3CDTF">2026-01-22T10:04:26Z</dcterms:modified>
</cp:coreProperties>
</file>