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eigene Paper\Sabrina MreB EzrA DivIVA morphotypes in infection\Virulence\raw data\"/>
    </mc:Choice>
  </mc:AlternateContent>
  <xr:revisionPtr revIDLastSave="0" documentId="13_ncr:1_{E41F2E57-C849-48A5-8141-6BCCBE31B584}" xr6:coauthVersionLast="36" xr6:coauthVersionMax="36" xr10:uidLastSave="{00000000-0000-0000-0000-000000000000}"/>
  <bookViews>
    <workbookView xWindow="0" yWindow="0" windowWidth="28800" windowHeight="12705" xr2:uid="{A8208571-E067-45D4-B399-818353F0FB3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F24" i="1"/>
  <c r="E26" i="1"/>
  <c r="C28" i="1"/>
  <c r="J15" i="1"/>
  <c r="J13" i="1"/>
  <c r="I14" i="1"/>
  <c r="I16" i="1"/>
  <c r="H16" i="1"/>
  <c r="H15" i="1"/>
  <c r="I15" i="1" s="1"/>
  <c r="H14" i="1"/>
  <c r="H13" i="1"/>
  <c r="I13" i="1" s="1"/>
  <c r="H12" i="1"/>
  <c r="I12" i="1" s="1"/>
  <c r="H11" i="1"/>
  <c r="I11" i="1" s="1"/>
  <c r="G3" i="1"/>
  <c r="E22" i="1" s="1"/>
  <c r="G4" i="1"/>
  <c r="E23" i="1" s="1"/>
  <c r="G5" i="1"/>
  <c r="E24" i="1" s="1"/>
  <c r="G6" i="1"/>
  <c r="E25" i="1" s="1"/>
  <c r="G7" i="1"/>
  <c r="G8" i="1"/>
  <c r="E27" i="1" s="1"/>
  <c r="G9" i="1"/>
  <c r="E28" i="1" s="1"/>
  <c r="G10" i="1"/>
  <c r="F22" i="1" s="1"/>
  <c r="G11" i="1"/>
  <c r="F23" i="1" s="1"/>
  <c r="G12" i="1"/>
  <c r="G13" i="1"/>
  <c r="F25" i="1" s="1"/>
  <c r="G14" i="1"/>
  <c r="F26" i="1" s="1"/>
  <c r="G15" i="1"/>
  <c r="F27" i="1" s="1"/>
  <c r="G16" i="1"/>
  <c r="F28" i="1" s="1"/>
  <c r="F3" i="1"/>
  <c r="C22" i="1" s="1"/>
  <c r="F4" i="1"/>
  <c r="C23" i="1" s="1"/>
  <c r="F5" i="1"/>
  <c r="F6" i="1"/>
  <c r="C25" i="1" s="1"/>
  <c r="F7" i="1"/>
  <c r="C26" i="1" s="1"/>
  <c r="F8" i="1"/>
  <c r="C27" i="1" s="1"/>
  <c r="F9" i="1"/>
  <c r="F10" i="1"/>
  <c r="D22" i="1" s="1"/>
  <c r="F11" i="1"/>
  <c r="D23" i="1" s="1"/>
  <c r="F12" i="1"/>
  <c r="D24" i="1" s="1"/>
  <c r="F13" i="1"/>
  <c r="D25" i="1" s="1"/>
  <c r="F14" i="1"/>
  <c r="D26" i="1" s="1"/>
  <c r="F15" i="1"/>
  <c r="D27" i="1" s="1"/>
  <c r="F16" i="1"/>
  <c r="D28" i="1" s="1"/>
</calcChain>
</file>

<file path=xl/sharedStrings.xml><?xml version="1.0" encoding="utf-8"?>
<sst xmlns="http://schemas.openxmlformats.org/spreadsheetml/2006/main" count="52" uniqueCount="20">
  <si>
    <t>i</t>
  </si>
  <si>
    <t>ii</t>
  </si>
  <si>
    <t>iii</t>
  </si>
  <si>
    <t>avg</t>
  </si>
  <si>
    <t>s</t>
  </si>
  <si>
    <t>P vs wt</t>
  </si>
  <si>
    <t>Bonferroni-Holm</t>
  </si>
  <si>
    <t>P vs + IPTG</t>
  </si>
  <si>
    <t>Δhly</t>
  </si>
  <si>
    <t>ΔdivIVA</t>
  </si>
  <si>
    <t>iezrA-IPTG</t>
  </si>
  <si>
    <t>iezrA+IPTG</t>
  </si>
  <si>
    <t>imreB-IPTG</t>
  </si>
  <si>
    <t>imreB+IPTG</t>
  </si>
  <si>
    <t>wt</t>
  </si>
  <si>
    <t xml:space="preserve">0 h p. i. </t>
  </si>
  <si>
    <t>6 h p. i.</t>
  </si>
  <si>
    <t>CFU/ml</t>
  </si>
  <si>
    <t>time</t>
  </si>
  <si>
    <t>strain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</si>
</sst>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3" xfId="0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Tabelle1!$C$21</c:f>
              <c:strCache>
                <c:ptCount val="1"/>
                <c:pt idx="0">
                  <c:v>0 h p. i. 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Tabelle1!$E$22:$E$28</c:f>
                <c:numCache>
                  <c:formatCode>General</c:formatCode>
                  <c:ptCount val="7"/>
                  <c:pt idx="0">
                    <c:v>10609.901036296238</c:v>
                  </c:pt>
                  <c:pt idx="1">
                    <c:v>294.44863728670913</c:v>
                  </c:pt>
                  <c:pt idx="2">
                    <c:v>9444.7516289912746</c:v>
                  </c:pt>
                  <c:pt idx="3">
                    <c:v>8089.4993664626736</c:v>
                  </c:pt>
                  <c:pt idx="4">
                    <c:v>26005.191789333145</c:v>
                  </c:pt>
                  <c:pt idx="5">
                    <c:v>34289.405555263511</c:v>
                  </c:pt>
                  <c:pt idx="6">
                    <c:v>21036.713938572539</c:v>
                  </c:pt>
                </c:numCache>
              </c:numRef>
            </c:plus>
            <c:minus>
              <c:numRef>
                <c:f>Tabelle1!$E$22:$E$28</c:f>
                <c:numCache>
                  <c:formatCode>General</c:formatCode>
                  <c:ptCount val="7"/>
                  <c:pt idx="0">
                    <c:v>10609.901036296238</c:v>
                  </c:pt>
                  <c:pt idx="1">
                    <c:v>294.44863728670913</c:v>
                  </c:pt>
                  <c:pt idx="2">
                    <c:v>9444.7516289912746</c:v>
                  </c:pt>
                  <c:pt idx="3">
                    <c:v>8089.4993664626736</c:v>
                  </c:pt>
                  <c:pt idx="4">
                    <c:v>26005.191789333145</c:v>
                  </c:pt>
                  <c:pt idx="5">
                    <c:v>34289.405555263511</c:v>
                  </c:pt>
                  <c:pt idx="6">
                    <c:v>21036.713938572539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Tabelle1!$B$22:$B$28</c:f>
              <c:strCache>
                <c:ptCount val="7"/>
                <c:pt idx="0">
                  <c:v>wt</c:v>
                </c:pt>
                <c:pt idx="1">
                  <c:v>Δhly</c:v>
                </c:pt>
                <c:pt idx="2">
                  <c:v>ΔdivIVA</c:v>
                </c:pt>
                <c:pt idx="3">
                  <c:v>imreB-IPTG</c:v>
                </c:pt>
                <c:pt idx="4">
                  <c:v>imreB+IPTG</c:v>
                </c:pt>
                <c:pt idx="5">
                  <c:v>iezrA-IPTG</c:v>
                </c:pt>
                <c:pt idx="6">
                  <c:v>iezrA+IPTG</c:v>
                </c:pt>
              </c:strCache>
            </c:strRef>
          </c:cat>
          <c:val>
            <c:numRef>
              <c:f>Tabelle1!$C$22:$C$28</c:f>
              <c:numCache>
                <c:formatCode>General</c:formatCode>
                <c:ptCount val="7"/>
                <c:pt idx="0">
                  <c:v>146700</c:v>
                </c:pt>
                <c:pt idx="1">
                  <c:v>64870</c:v>
                </c:pt>
                <c:pt idx="2">
                  <c:v>153233.33333333334</c:v>
                </c:pt>
                <c:pt idx="3">
                  <c:v>108200</c:v>
                </c:pt>
                <c:pt idx="4">
                  <c:v>190400</c:v>
                </c:pt>
                <c:pt idx="5">
                  <c:v>171333.33333333334</c:v>
                </c:pt>
                <c:pt idx="6">
                  <c:v>143466.66666666666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B5-47DA-BF85-FE992D1282DC}"/>
            </c:ext>
          </c:extLst>
        </c:ser>
        <c:ser>
          <c:idx val="2"/>
          <c:order val="1"/>
          <c:tx>
            <c:strRef>
              <c:f>Tabelle1!$D$21</c:f>
              <c:strCache>
                <c:ptCount val="1"/>
                <c:pt idx="0">
                  <c:v>6 h p. i.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Tabelle1!$F$22:$F$28</c:f>
                <c:numCache>
                  <c:formatCode>General</c:formatCode>
                  <c:ptCount val="7"/>
                  <c:pt idx="0">
                    <c:v>356231.66619490751</c:v>
                  </c:pt>
                  <c:pt idx="1">
                    <c:v>13343.966177015485</c:v>
                  </c:pt>
                  <c:pt idx="2">
                    <c:v>31755.686629851574</c:v>
                  </c:pt>
                  <c:pt idx="3">
                    <c:v>226892.77937680902</c:v>
                  </c:pt>
                  <c:pt idx="4">
                    <c:v>1043791.3265271627</c:v>
                  </c:pt>
                  <c:pt idx="5">
                    <c:v>674146.12659274403</c:v>
                  </c:pt>
                  <c:pt idx="6">
                    <c:v>1105432.1930056734</c:v>
                  </c:pt>
                </c:numCache>
              </c:numRef>
            </c:plus>
            <c:minus>
              <c:numRef>
                <c:f>Tabelle1!$F$22:$F$28</c:f>
                <c:numCache>
                  <c:formatCode>General</c:formatCode>
                  <c:ptCount val="7"/>
                  <c:pt idx="0">
                    <c:v>356231.66619490751</c:v>
                  </c:pt>
                  <c:pt idx="1">
                    <c:v>13343.966177015485</c:v>
                  </c:pt>
                  <c:pt idx="2">
                    <c:v>31755.686629851574</c:v>
                  </c:pt>
                  <c:pt idx="3">
                    <c:v>226892.77937680902</c:v>
                  </c:pt>
                  <c:pt idx="4">
                    <c:v>1043791.3265271627</c:v>
                  </c:pt>
                  <c:pt idx="5">
                    <c:v>674146.12659274403</c:v>
                  </c:pt>
                  <c:pt idx="6">
                    <c:v>1105432.1930056734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Tabelle1!$B$22:$B$28</c:f>
              <c:strCache>
                <c:ptCount val="7"/>
                <c:pt idx="0">
                  <c:v>wt</c:v>
                </c:pt>
                <c:pt idx="1">
                  <c:v>Δhly</c:v>
                </c:pt>
                <c:pt idx="2">
                  <c:v>ΔdivIVA</c:v>
                </c:pt>
                <c:pt idx="3">
                  <c:v>imreB-IPTG</c:v>
                </c:pt>
                <c:pt idx="4">
                  <c:v>imreB+IPTG</c:v>
                </c:pt>
                <c:pt idx="5">
                  <c:v>iezrA-IPTG</c:v>
                </c:pt>
                <c:pt idx="6">
                  <c:v>iezrA+IPTG</c:v>
                </c:pt>
              </c:strCache>
            </c:strRef>
          </c:cat>
          <c:val>
            <c:numRef>
              <c:f>Tabelle1!$D$22:$D$28</c:f>
              <c:numCache>
                <c:formatCode>General</c:formatCode>
                <c:ptCount val="7"/>
                <c:pt idx="0">
                  <c:v>2000000</c:v>
                </c:pt>
                <c:pt idx="1">
                  <c:v>32036.666666666668</c:v>
                </c:pt>
                <c:pt idx="2">
                  <c:v>96803.333333333328</c:v>
                </c:pt>
                <c:pt idx="3">
                  <c:v>2233666.6666666665</c:v>
                </c:pt>
                <c:pt idx="4">
                  <c:v>3413666.6666666665</c:v>
                </c:pt>
                <c:pt idx="5">
                  <c:v>1821000</c:v>
                </c:pt>
                <c:pt idx="6">
                  <c:v>4328666.666666667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B5-47DA-BF85-FE992D1282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4580344"/>
        <c:axId val="694582312"/>
      </c:barChart>
      <c:catAx>
        <c:axId val="694580344"/>
        <c:scaling>
          <c:orientation val="minMax"/>
        </c:scaling>
        <c:delete val="0"/>
        <c:axPos val="b"/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94582312"/>
        <c:crosses val="autoZero"/>
        <c:auto val="1"/>
        <c:lblAlgn val="ctr"/>
        <c:lblOffset val="100"/>
        <c:noMultiLvlLbl val="0"/>
      </c:catAx>
      <c:valAx>
        <c:axId val="694582312"/>
        <c:scaling>
          <c:logBase val="10"/>
          <c:orientation val="minMax"/>
          <c:min val="1000"/>
        </c:scaling>
        <c:delete val="0"/>
        <c:axPos val="l"/>
        <c:numFmt formatCode="General" sourceLinked="1"/>
        <c:majorTickMark val="out"/>
        <c:minorTickMark val="out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694580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685800</xdr:colOff>
      <xdr:row>18</xdr:row>
      <xdr:rowOff>71437</xdr:rowOff>
    </xdr:from>
    <xdr:to>
      <xdr:col>12</xdr:col>
      <xdr:colOff>685800</xdr:colOff>
      <xdr:row>32</xdr:row>
      <xdr:rowOff>147637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E312C5F6-4E75-4BDE-928F-C975E03F39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1A892-330F-4FE9-AE9B-AACF72181B32}">
  <dimension ref="A1:J28"/>
  <sheetViews>
    <sheetView tabSelected="1" workbookViewId="0">
      <selection activeCell="I11" sqref="I11:I12"/>
    </sheetView>
  </sheetViews>
  <sheetFormatPr baseColWidth="10" defaultRowHeight="15" x14ac:dyDescent="0.25"/>
  <sheetData>
    <row r="1" spans="1:10" x14ac:dyDescent="0.25">
      <c r="A1" s="1"/>
      <c r="B1" s="1"/>
      <c r="C1" s="1" t="s">
        <v>17</v>
      </c>
      <c r="D1" s="1"/>
      <c r="E1" s="1"/>
      <c r="F1" s="1"/>
      <c r="G1" s="1"/>
      <c r="H1" s="1"/>
      <c r="I1" s="1"/>
      <c r="J1" s="1"/>
    </row>
    <row r="2" spans="1:10" x14ac:dyDescent="0.25">
      <c r="A2" s="1" t="s">
        <v>18</v>
      </c>
      <c r="B2" s="1" t="s">
        <v>19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x14ac:dyDescent="0.25">
      <c r="A3" s="2" t="s">
        <v>15</v>
      </c>
      <c r="B3" s="2" t="s">
        <v>14</v>
      </c>
      <c r="C3" s="2">
        <v>148000</v>
      </c>
      <c r="D3" s="2">
        <v>135500</v>
      </c>
      <c r="E3" s="2">
        <v>156600</v>
      </c>
      <c r="F3" s="2">
        <f t="shared" ref="F3:F16" si="0">AVERAGE(C3:E3)</f>
        <v>146700</v>
      </c>
      <c r="G3" s="2">
        <f t="shared" ref="G3:G16" si="1">STDEV(C3:E3)</f>
        <v>10609.901036296238</v>
      </c>
      <c r="H3" s="2"/>
      <c r="I3" s="2"/>
      <c r="J3" s="2"/>
    </row>
    <row r="4" spans="1:10" x14ac:dyDescent="0.25">
      <c r="A4" s="4" t="s">
        <v>15</v>
      </c>
      <c r="B4" s="3" t="s">
        <v>8</v>
      </c>
      <c r="C4" s="4">
        <v>65210</v>
      </c>
      <c r="D4" s="4">
        <v>64700</v>
      </c>
      <c r="E4" s="4">
        <v>64700</v>
      </c>
      <c r="F4" s="4">
        <f t="shared" si="0"/>
        <v>64870</v>
      </c>
      <c r="G4" s="4">
        <f t="shared" si="1"/>
        <v>294.44863728670913</v>
      </c>
      <c r="H4" s="4"/>
      <c r="I4" s="4"/>
      <c r="J4" s="4"/>
    </row>
    <row r="5" spans="1:10" x14ac:dyDescent="0.25">
      <c r="A5" s="4" t="s">
        <v>15</v>
      </c>
      <c r="B5" s="3" t="s">
        <v>9</v>
      </c>
      <c r="C5" s="4">
        <v>161200</v>
      </c>
      <c r="D5" s="4">
        <v>142800</v>
      </c>
      <c r="E5" s="4">
        <v>155700</v>
      </c>
      <c r="F5" s="4">
        <f t="shared" si="0"/>
        <v>153233.33333333334</v>
      </c>
      <c r="G5" s="4">
        <f t="shared" si="1"/>
        <v>9444.7516289912746</v>
      </c>
      <c r="H5" s="4"/>
      <c r="I5" s="4"/>
      <c r="J5" s="4"/>
    </row>
    <row r="6" spans="1:10" x14ac:dyDescent="0.25">
      <c r="A6" s="4" t="s">
        <v>15</v>
      </c>
      <c r="B6" s="4" t="s">
        <v>12</v>
      </c>
      <c r="C6" s="4">
        <v>102200</v>
      </c>
      <c r="D6" s="4">
        <v>117400</v>
      </c>
      <c r="E6" s="4">
        <v>105000</v>
      </c>
      <c r="F6" s="4">
        <f t="shared" si="0"/>
        <v>108200</v>
      </c>
      <c r="G6" s="4">
        <f t="shared" si="1"/>
        <v>8089.4993664626736</v>
      </c>
      <c r="H6" s="4"/>
      <c r="I6" s="4"/>
      <c r="J6" s="4"/>
    </row>
    <row r="7" spans="1:10" x14ac:dyDescent="0.25">
      <c r="A7" s="4" t="s">
        <v>15</v>
      </c>
      <c r="B7" s="4" t="s">
        <v>13</v>
      </c>
      <c r="C7" s="4">
        <v>160600</v>
      </c>
      <c r="D7" s="4">
        <v>202100</v>
      </c>
      <c r="E7" s="4">
        <v>208500</v>
      </c>
      <c r="F7" s="4">
        <f t="shared" si="0"/>
        <v>190400</v>
      </c>
      <c r="G7" s="4">
        <f t="shared" si="1"/>
        <v>26005.191789333145</v>
      </c>
      <c r="H7" s="4"/>
      <c r="I7" s="4"/>
      <c r="J7" s="4"/>
    </row>
    <row r="8" spans="1:10" x14ac:dyDescent="0.25">
      <c r="A8" s="4" t="s">
        <v>15</v>
      </c>
      <c r="B8" s="4" t="s">
        <v>10</v>
      </c>
      <c r="C8" s="4">
        <v>174900</v>
      </c>
      <c r="D8" s="4">
        <v>203700</v>
      </c>
      <c r="E8" s="4">
        <v>135400</v>
      </c>
      <c r="F8" s="4">
        <f t="shared" si="0"/>
        <v>171333.33333333334</v>
      </c>
      <c r="G8" s="4">
        <f t="shared" si="1"/>
        <v>34289.405555263511</v>
      </c>
      <c r="H8" s="4"/>
      <c r="I8" s="4"/>
      <c r="J8" s="4"/>
    </row>
    <row r="9" spans="1:10" x14ac:dyDescent="0.25">
      <c r="A9" s="5" t="s">
        <v>15</v>
      </c>
      <c r="B9" s="5" t="s">
        <v>11</v>
      </c>
      <c r="C9" s="5">
        <v>132800</v>
      </c>
      <c r="D9" s="5">
        <v>129900</v>
      </c>
      <c r="E9" s="5">
        <v>167700</v>
      </c>
      <c r="F9" s="5">
        <f t="shared" si="0"/>
        <v>143466.66666666666</v>
      </c>
      <c r="G9" s="5">
        <f t="shared" si="1"/>
        <v>21036.713938572539</v>
      </c>
      <c r="H9" s="5"/>
      <c r="I9" s="5"/>
      <c r="J9" s="5"/>
    </row>
    <row r="10" spans="1:10" x14ac:dyDescent="0.25">
      <c r="A10" s="2" t="s">
        <v>16</v>
      </c>
      <c r="B10" s="2" t="s">
        <v>14</v>
      </c>
      <c r="C10" s="2">
        <v>1589000</v>
      </c>
      <c r="D10" s="2">
        <v>2191000</v>
      </c>
      <c r="E10" s="2">
        <v>2220000</v>
      </c>
      <c r="F10" s="2">
        <f t="shared" si="0"/>
        <v>2000000</v>
      </c>
      <c r="G10" s="2">
        <f t="shared" si="1"/>
        <v>356231.66619490751</v>
      </c>
      <c r="H10" s="2"/>
      <c r="I10" s="2"/>
      <c r="J10" s="2"/>
    </row>
    <row r="11" spans="1:10" x14ac:dyDescent="0.25">
      <c r="A11" s="4" t="s">
        <v>16</v>
      </c>
      <c r="B11" s="3" t="s">
        <v>8</v>
      </c>
      <c r="C11" s="4">
        <v>41220</v>
      </c>
      <c r="D11" s="4">
        <v>38160</v>
      </c>
      <c r="E11" s="4">
        <v>16730</v>
      </c>
      <c r="F11" s="4">
        <f t="shared" si="0"/>
        <v>32036.666666666668</v>
      </c>
      <c r="G11" s="4">
        <f t="shared" si="1"/>
        <v>13343.966177015485</v>
      </c>
      <c r="H11" s="4">
        <f>TTEST($C$10:$E$10,C11:E11,2,2)</f>
        <v>6.6829287712561229E-4</v>
      </c>
      <c r="I11" s="6">
        <f>H11*6</f>
        <v>4.0097572627536739E-3</v>
      </c>
      <c r="J11" s="4"/>
    </row>
    <row r="12" spans="1:10" x14ac:dyDescent="0.25">
      <c r="A12" s="4" t="s">
        <v>16</v>
      </c>
      <c r="B12" s="3" t="s">
        <v>9</v>
      </c>
      <c r="C12" s="4">
        <v>95480</v>
      </c>
      <c r="D12" s="4">
        <v>65730</v>
      </c>
      <c r="E12" s="4">
        <v>129200</v>
      </c>
      <c r="F12" s="4">
        <f t="shared" si="0"/>
        <v>96803.333333333328</v>
      </c>
      <c r="G12" s="4">
        <f t="shared" si="1"/>
        <v>31755.686629851574</v>
      </c>
      <c r="H12" s="4">
        <f t="shared" ref="H12:H16" si="2">TTEST($C$10:$E$10,C12:E12,2,2)</f>
        <v>7.6991819354924659E-4</v>
      </c>
      <c r="I12" s="6">
        <f>H12*5</f>
        <v>3.8495909677462329E-3</v>
      </c>
      <c r="J12" s="4"/>
    </row>
    <row r="13" spans="1:10" x14ac:dyDescent="0.25">
      <c r="A13" s="4" t="s">
        <v>16</v>
      </c>
      <c r="B13" s="4" t="s">
        <v>12</v>
      </c>
      <c r="C13" s="4">
        <v>2300000</v>
      </c>
      <c r="D13" s="4">
        <v>1981000</v>
      </c>
      <c r="E13" s="4">
        <v>2420000</v>
      </c>
      <c r="F13" s="4">
        <f t="shared" si="0"/>
        <v>2233666.6666666665</v>
      </c>
      <c r="G13" s="4">
        <f t="shared" si="1"/>
        <v>226892.77937680902</v>
      </c>
      <c r="H13" s="4">
        <f t="shared" si="2"/>
        <v>0.39219763636160287</v>
      </c>
      <c r="I13" s="4">
        <f>H13*2</f>
        <v>0.78439527272320575</v>
      </c>
      <c r="J13" s="4">
        <f>TTEST(C13:E13,C14:E14,2,2)</f>
        <v>0.12824403185070771</v>
      </c>
    </row>
    <row r="14" spans="1:10" x14ac:dyDescent="0.25">
      <c r="A14" s="4" t="s">
        <v>16</v>
      </c>
      <c r="B14" s="4" t="s">
        <v>13</v>
      </c>
      <c r="C14" s="4">
        <v>3913000</v>
      </c>
      <c r="D14" s="4">
        <v>4114000</v>
      </c>
      <c r="E14" s="4">
        <v>2214000</v>
      </c>
      <c r="F14" s="4">
        <f t="shared" si="0"/>
        <v>3413666.6666666665</v>
      </c>
      <c r="G14" s="4">
        <f t="shared" si="1"/>
        <v>1043791.3265271627</v>
      </c>
      <c r="H14" s="4">
        <f t="shared" si="2"/>
        <v>9.0603894400396262E-2</v>
      </c>
      <c r="I14" s="4">
        <f>H14*3</f>
        <v>0.27181168320118876</v>
      </c>
      <c r="J14" s="4"/>
    </row>
    <row r="15" spans="1:10" x14ac:dyDescent="0.25">
      <c r="A15" s="4" t="s">
        <v>16</v>
      </c>
      <c r="B15" s="4" t="s">
        <v>10</v>
      </c>
      <c r="C15" s="4">
        <v>1200000</v>
      </c>
      <c r="D15" s="4">
        <v>2538000</v>
      </c>
      <c r="E15" s="4">
        <v>1725000</v>
      </c>
      <c r="F15" s="4">
        <f t="shared" si="0"/>
        <v>1821000</v>
      </c>
      <c r="G15" s="4">
        <f t="shared" si="1"/>
        <v>674146.12659274403</v>
      </c>
      <c r="H15" s="4">
        <f t="shared" si="2"/>
        <v>0.70510500244736973</v>
      </c>
      <c r="I15" s="4">
        <f>H15*1</f>
        <v>0.70510500244736973</v>
      </c>
      <c r="J15" s="4">
        <f>TTEST(C15:E15,C16:E16,2,2)</f>
        <v>2.8448278428598511E-2</v>
      </c>
    </row>
    <row r="16" spans="1:10" x14ac:dyDescent="0.25">
      <c r="A16" s="5" t="s">
        <v>16</v>
      </c>
      <c r="B16" s="5" t="s">
        <v>11</v>
      </c>
      <c r="C16" s="5">
        <v>3676000</v>
      </c>
      <c r="D16" s="5">
        <v>5605000</v>
      </c>
      <c r="E16" s="5">
        <v>3705000</v>
      </c>
      <c r="F16" s="5">
        <f t="shared" si="0"/>
        <v>4328666.666666667</v>
      </c>
      <c r="G16" s="5">
        <f t="shared" si="1"/>
        <v>1105432.1930056734</v>
      </c>
      <c r="H16" s="5">
        <f t="shared" si="2"/>
        <v>2.5518265796446133E-2</v>
      </c>
      <c r="I16" s="5">
        <f>H16*4</f>
        <v>0.10207306318578453</v>
      </c>
      <c r="J16" s="5"/>
    </row>
    <row r="20" spans="2:6" x14ac:dyDescent="0.25">
      <c r="B20" s="1"/>
      <c r="C20" s="1" t="s">
        <v>3</v>
      </c>
      <c r="D20" s="1"/>
      <c r="E20" s="1" t="s">
        <v>4</v>
      </c>
      <c r="F20" s="1"/>
    </row>
    <row r="21" spans="2:6" x14ac:dyDescent="0.25">
      <c r="B21" s="1"/>
      <c r="C21" s="1" t="s">
        <v>15</v>
      </c>
      <c r="D21" s="1" t="s">
        <v>16</v>
      </c>
      <c r="E21" s="1" t="s">
        <v>15</v>
      </c>
      <c r="F21" s="1" t="s">
        <v>16</v>
      </c>
    </row>
    <row r="22" spans="2:6" x14ac:dyDescent="0.25">
      <c r="B22" s="2" t="s">
        <v>14</v>
      </c>
      <c r="C22" s="2">
        <f t="shared" ref="C22:C28" si="3">F3</f>
        <v>146700</v>
      </c>
      <c r="D22" s="2">
        <f t="shared" ref="D22:D28" si="4">F10</f>
        <v>2000000</v>
      </c>
      <c r="E22" s="2">
        <f t="shared" ref="E22:E28" si="5">G3</f>
        <v>10609.901036296238</v>
      </c>
      <c r="F22" s="2">
        <f t="shared" ref="F22:F28" si="6">G10</f>
        <v>356231.66619490751</v>
      </c>
    </row>
    <row r="23" spans="2:6" x14ac:dyDescent="0.25">
      <c r="B23" s="3" t="s">
        <v>8</v>
      </c>
      <c r="C23" s="4">
        <f t="shared" si="3"/>
        <v>64870</v>
      </c>
      <c r="D23" s="4">
        <f t="shared" si="4"/>
        <v>32036.666666666668</v>
      </c>
      <c r="E23" s="4">
        <f t="shared" si="5"/>
        <v>294.44863728670913</v>
      </c>
      <c r="F23" s="4">
        <f t="shared" si="6"/>
        <v>13343.966177015485</v>
      </c>
    </row>
    <row r="24" spans="2:6" x14ac:dyDescent="0.25">
      <c r="B24" s="3" t="s">
        <v>9</v>
      </c>
      <c r="C24" s="4">
        <f t="shared" si="3"/>
        <v>153233.33333333334</v>
      </c>
      <c r="D24" s="4">
        <f t="shared" si="4"/>
        <v>96803.333333333328</v>
      </c>
      <c r="E24" s="4">
        <f t="shared" si="5"/>
        <v>9444.7516289912746</v>
      </c>
      <c r="F24" s="4">
        <f t="shared" si="6"/>
        <v>31755.686629851574</v>
      </c>
    </row>
    <row r="25" spans="2:6" x14ac:dyDescent="0.25">
      <c r="B25" s="4" t="s">
        <v>12</v>
      </c>
      <c r="C25" s="4">
        <f t="shared" si="3"/>
        <v>108200</v>
      </c>
      <c r="D25" s="4">
        <f t="shared" si="4"/>
        <v>2233666.6666666665</v>
      </c>
      <c r="E25" s="4">
        <f t="shared" si="5"/>
        <v>8089.4993664626736</v>
      </c>
      <c r="F25" s="4">
        <f t="shared" si="6"/>
        <v>226892.77937680902</v>
      </c>
    </row>
    <row r="26" spans="2:6" x14ac:dyDescent="0.25">
      <c r="B26" s="4" t="s">
        <v>13</v>
      </c>
      <c r="C26" s="4">
        <f t="shared" si="3"/>
        <v>190400</v>
      </c>
      <c r="D26" s="4">
        <f t="shared" si="4"/>
        <v>3413666.6666666665</v>
      </c>
      <c r="E26" s="4">
        <f t="shared" si="5"/>
        <v>26005.191789333145</v>
      </c>
      <c r="F26" s="4">
        <f t="shared" si="6"/>
        <v>1043791.3265271627</v>
      </c>
    </row>
    <row r="27" spans="2:6" x14ac:dyDescent="0.25">
      <c r="B27" s="4" t="s">
        <v>10</v>
      </c>
      <c r="C27" s="4">
        <f t="shared" si="3"/>
        <v>171333.33333333334</v>
      </c>
      <c r="D27" s="4">
        <f t="shared" si="4"/>
        <v>1821000</v>
      </c>
      <c r="E27" s="4">
        <f t="shared" si="5"/>
        <v>34289.405555263511</v>
      </c>
      <c r="F27" s="4">
        <f t="shared" si="6"/>
        <v>674146.12659274403</v>
      </c>
    </row>
    <row r="28" spans="2:6" x14ac:dyDescent="0.25">
      <c r="B28" s="5" t="s">
        <v>11</v>
      </c>
      <c r="C28" s="5">
        <f t="shared" si="3"/>
        <v>143466.66666666666</v>
      </c>
      <c r="D28" s="5">
        <f t="shared" si="4"/>
        <v>4328666.666666667</v>
      </c>
      <c r="E28" s="5">
        <f t="shared" si="5"/>
        <v>21036.713938572539</v>
      </c>
      <c r="F28" s="5">
        <f t="shared" si="6"/>
        <v>1105432.1930056734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Robert Koch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Halbedel, Sven</dc:creator>
  <cp:lastModifiedBy>Halbedel, Sven</cp:lastModifiedBy>
  <dcterms:created xsi:type="dcterms:W3CDTF">2026-01-22T09:34:02Z</dcterms:created>
  <dcterms:modified xsi:type="dcterms:W3CDTF">2026-01-22T10:04:39Z</dcterms:modified>
</cp:coreProperties>
</file>