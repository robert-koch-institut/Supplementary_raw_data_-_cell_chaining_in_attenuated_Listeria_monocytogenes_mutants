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igene Paper\Sabrina MreB EzrA DivIVA morphotypes in infection\Virulence\raw data\"/>
    </mc:Choice>
  </mc:AlternateContent>
  <xr:revisionPtr revIDLastSave="0" documentId="13_ncr:1_{5FBB3C8C-3EDF-4C3D-8D2D-81930F725342}" xr6:coauthVersionLast="36" xr6:coauthVersionMax="36" xr10:uidLastSave="{00000000-0000-0000-0000-000000000000}"/>
  <bookViews>
    <workbookView xWindow="0" yWindow="0" windowWidth="28800" windowHeight="12705" xr2:uid="{4F963D15-E665-4704-8F69-23F172B05F3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" l="1"/>
  <c r="I10" i="1"/>
  <c r="I12" i="1"/>
  <c r="I11" i="1"/>
  <c r="I9" i="1"/>
  <c r="H10" i="1"/>
  <c r="H11" i="1"/>
  <c r="H12" i="1"/>
  <c r="H9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F16" i="1"/>
  <c r="E16" i="1"/>
  <c r="D16" i="1"/>
  <c r="C16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G3" i="1"/>
  <c r="F3" i="1"/>
</calcChain>
</file>

<file path=xl/sharedStrings.xml><?xml version="1.0" encoding="utf-8"?>
<sst xmlns="http://schemas.openxmlformats.org/spreadsheetml/2006/main" count="42" uniqueCount="18">
  <si>
    <t>∆prfA</t>
  </si>
  <si>
    <t>prfA*</t>
  </si>
  <si>
    <t>CFU/ml</t>
  </si>
  <si>
    <t>time</t>
  </si>
  <si>
    <t>strain</t>
  </si>
  <si>
    <t>i</t>
  </si>
  <si>
    <t>ii</t>
  </si>
  <si>
    <t>iii</t>
  </si>
  <si>
    <t>avg</t>
  </si>
  <si>
    <t>s</t>
  </si>
  <si>
    <t>P vs wt</t>
  </si>
  <si>
    <t>Bonferroni-Holm</t>
  </si>
  <si>
    <t xml:space="preserve">0 h p. i. </t>
  </si>
  <si>
    <t>wt</t>
  </si>
  <si>
    <t>6 h p. i.</t>
  </si>
  <si>
    <t>∆divIVA</t>
  </si>
  <si>
    <t>∆divIVA prfA*</t>
  </si>
  <si>
    <t>P vs divIVA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</si>
</sst>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Tabelle1!$C$15</c:f>
              <c:strCache>
                <c:ptCount val="1"/>
                <c:pt idx="0">
                  <c:v>0 h p. i. 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Tabelle1!$E$16:$E$20</c:f>
                <c:numCache>
                  <c:formatCode>General</c:formatCode>
                  <c:ptCount val="5"/>
                  <c:pt idx="0">
                    <c:v>15900.806059232782</c:v>
                  </c:pt>
                  <c:pt idx="1">
                    <c:v>4585.8586982156348</c:v>
                  </c:pt>
                  <c:pt idx="2">
                    <c:v>8612.5625300100437</c:v>
                  </c:pt>
                  <c:pt idx="3">
                    <c:v>40105.028778612439</c:v>
                  </c:pt>
                  <c:pt idx="4">
                    <c:v>7128.0876350766994</c:v>
                  </c:pt>
                </c:numCache>
              </c:numRef>
            </c:plus>
            <c:minus>
              <c:numRef>
                <c:f>Tabelle1!$E$16:$E$20</c:f>
                <c:numCache>
                  <c:formatCode>General</c:formatCode>
                  <c:ptCount val="5"/>
                  <c:pt idx="0">
                    <c:v>15900.806059232782</c:v>
                  </c:pt>
                  <c:pt idx="1">
                    <c:v>4585.8586982156348</c:v>
                  </c:pt>
                  <c:pt idx="2">
                    <c:v>8612.5625300100437</c:v>
                  </c:pt>
                  <c:pt idx="3">
                    <c:v>40105.028778612439</c:v>
                  </c:pt>
                  <c:pt idx="4">
                    <c:v>7128.0876350766994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Tabelle1!$B$16:$B$20</c:f>
              <c:strCache>
                <c:ptCount val="5"/>
                <c:pt idx="0">
                  <c:v>wt</c:v>
                </c:pt>
                <c:pt idx="1">
                  <c:v>∆prfA</c:v>
                </c:pt>
                <c:pt idx="2">
                  <c:v>prfA*</c:v>
                </c:pt>
                <c:pt idx="3">
                  <c:v>∆divIVA</c:v>
                </c:pt>
                <c:pt idx="4">
                  <c:v>∆divIVA prfA*</c:v>
                </c:pt>
              </c:strCache>
            </c:strRef>
          </c:cat>
          <c:val>
            <c:numRef>
              <c:f>Tabelle1!$C$16:$C$20</c:f>
              <c:numCache>
                <c:formatCode>General</c:formatCode>
                <c:ptCount val="5"/>
                <c:pt idx="0">
                  <c:v>89623.333333333328</c:v>
                </c:pt>
                <c:pt idx="1">
                  <c:v>29990</c:v>
                </c:pt>
                <c:pt idx="2">
                  <c:v>53596.666666666664</c:v>
                </c:pt>
                <c:pt idx="3">
                  <c:v>149466.66666666666</c:v>
                </c:pt>
                <c:pt idx="4">
                  <c:v>94076.666666666672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9-463D-8419-D341C92E2ED2}"/>
            </c:ext>
          </c:extLst>
        </c:ser>
        <c:ser>
          <c:idx val="1"/>
          <c:order val="1"/>
          <c:tx>
            <c:strRef>
              <c:f>Tabelle1!$D$15</c:f>
              <c:strCache>
                <c:ptCount val="1"/>
                <c:pt idx="0">
                  <c:v>6 h p. i.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Tabelle1!$F$16:$F$20</c:f>
                <c:numCache>
                  <c:formatCode>General</c:formatCode>
                  <c:ptCount val="5"/>
                  <c:pt idx="0">
                    <c:v>448624.93614748388</c:v>
                  </c:pt>
                  <c:pt idx="1">
                    <c:v>553.20279584735772</c:v>
                  </c:pt>
                  <c:pt idx="2">
                    <c:v>606864.07044741081</c:v>
                  </c:pt>
                  <c:pt idx="3">
                    <c:v>117781.25204519327</c:v>
                  </c:pt>
                  <c:pt idx="4">
                    <c:v>144440.17215904078</c:v>
                  </c:pt>
                </c:numCache>
              </c:numRef>
            </c:plus>
            <c:minus>
              <c:numRef>
                <c:f>Tabelle1!$F$16:$F$20</c:f>
                <c:numCache>
                  <c:formatCode>General</c:formatCode>
                  <c:ptCount val="5"/>
                  <c:pt idx="0">
                    <c:v>448624.93614748388</c:v>
                  </c:pt>
                  <c:pt idx="1">
                    <c:v>553.20279584735772</c:v>
                  </c:pt>
                  <c:pt idx="2">
                    <c:v>606864.07044741081</c:v>
                  </c:pt>
                  <c:pt idx="3">
                    <c:v>117781.25204519327</c:v>
                  </c:pt>
                  <c:pt idx="4">
                    <c:v>144440.17215904078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Tabelle1!$B$16:$B$20</c:f>
              <c:strCache>
                <c:ptCount val="5"/>
                <c:pt idx="0">
                  <c:v>wt</c:v>
                </c:pt>
                <c:pt idx="1">
                  <c:v>∆prfA</c:v>
                </c:pt>
                <c:pt idx="2">
                  <c:v>prfA*</c:v>
                </c:pt>
                <c:pt idx="3">
                  <c:v>∆divIVA</c:v>
                </c:pt>
                <c:pt idx="4">
                  <c:v>∆divIVA prfA*</c:v>
                </c:pt>
              </c:strCache>
            </c:strRef>
          </c:cat>
          <c:val>
            <c:numRef>
              <c:f>Tabelle1!$D$16:$D$20</c:f>
              <c:numCache>
                <c:formatCode>General</c:formatCode>
                <c:ptCount val="5"/>
                <c:pt idx="0">
                  <c:v>2920666.6666666665</c:v>
                </c:pt>
                <c:pt idx="1">
                  <c:v>15256.666666666666</c:v>
                </c:pt>
                <c:pt idx="2">
                  <c:v>2178000</c:v>
                </c:pt>
                <c:pt idx="3">
                  <c:v>362166.66666666669</c:v>
                </c:pt>
                <c:pt idx="4">
                  <c:v>405733.33333333331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49-463D-8419-D341C92E2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643360"/>
        <c:axId val="588647296"/>
      </c:barChart>
      <c:catAx>
        <c:axId val="588643360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88647296"/>
        <c:crosses val="autoZero"/>
        <c:auto val="1"/>
        <c:lblAlgn val="ctr"/>
        <c:lblOffset val="100"/>
        <c:noMultiLvlLbl val="0"/>
      </c:catAx>
      <c:valAx>
        <c:axId val="588647296"/>
        <c:scaling>
          <c:logBase val="10"/>
          <c:orientation val="minMax"/>
          <c:min val="1000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58864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619125</xdr:colOff>
      <xdr:row>13</xdr:row>
      <xdr:rowOff>28575</xdr:rowOff>
    </xdr:from>
    <xdr:to>
      <xdr:col>12</xdr:col>
      <xdr:colOff>619125</xdr:colOff>
      <xdr:row>27</xdr:row>
      <xdr:rowOff>104775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14AB299-551D-4806-A673-BEBE4A7D8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34D5-576D-4E77-A356-32F3303AB7C8}">
  <dimension ref="A1:J20"/>
  <sheetViews>
    <sheetView tabSelected="1" workbookViewId="0">
      <selection activeCell="N10" sqref="N10"/>
    </sheetView>
  </sheetViews>
  <sheetFormatPr baseColWidth="10" defaultRowHeight="15" x14ac:dyDescent="0.25"/>
  <sheetData>
    <row r="1" spans="1:10" x14ac:dyDescent="0.25">
      <c r="A1" s="1"/>
      <c r="B1" s="1"/>
      <c r="C1" s="1" t="s">
        <v>2</v>
      </c>
      <c r="D1" s="1"/>
      <c r="E1" s="1"/>
      <c r="F1" s="1"/>
      <c r="G1" s="1"/>
      <c r="H1" s="1"/>
      <c r="I1" s="1"/>
      <c r="J1" s="1"/>
    </row>
    <row r="2" spans="1:10" x14ac:dyDescent="0.25">
      <c r="A2" s="1" t="s">
        <v>3</v>
      </c>
      <c r="B2" s="1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1" t="s">
        <v>10</v>
      </c>
      <c r="I2" s="1" t="s">
        <v>11</v>
      </c>
      <c r="J2" s="1" t="s">
        <v>17</v>
      </c>
    </row>
    <row r="3" spans="1:10" x14ac:dyDescent="0.25">
      <c r="A3" s="2" t="s">
        <v>12</v>
      </c>
      <c r="B3" s="2" t="s">
        <v>13</v>
      </c>
      <c r="C3" s="2">
        <v>107600</v>
      </c>
      <c r="D3" s="2">
        <v>77400</v>
      </c>
      <c r="E3" s="2">
        <v>83870</v>
      </c>
      <c r="F3" s="2">
        <f>AVERAGE(C3:E3)</f>
        <v>89623.333333333328</v>
      </c>
      <c r="G3" s="2">
        <f>STDEV(C3:E3)</f>
        <v>15900.806059232782</v>
      </c>
      <c r="H3" s="2"/>
      <c r="I3" s="2"/>
      <c r="J3" s="2"/>
    </row>
    <row r="4" spans="1:10" x14ac:dyDescent="0.25">
      <c r="A4" s="3" t="s">
        <v>12</v>
      </c>
      <c r="B4" s="3" t="s">
        <v>0</v>
      </c>
      <c r="C4" s="3">
        <v>29000</v>
      </c>
      <c r="D4" s="3">
        <v>34990</v>
      </c>
      <c r="E4" s="3">
        <v>25980</v>
      </c>
      <c r="F4" s="3">
        <f t="shared" ref="F4:F13" si="0">AVERAGE(C4:E4)</f>
        <v>29990</v>
      </c>
      <c r="G4" s="3">
        <f t="shared" ref="G4:G13" si="1">STDEV(C4:E4)</f>
        <v>4585.8586982156348</v>
      </c>
      <c r="H4" s="3"/>
      <c r="I4" s="3"/>
      <c r="J4" s="3"/>
    </row>
    <row r="5" spans="1:10" x14ac:dyDescent="0.25">
      <c r="A5" s="3" t="s">
        <v>12</v>
      </c>
      <c r="B5" s="3" t="s">
        <v>1</v>
      </c>
      <c r="C5" s="3">
        <v>63260</v>
      </c>
      <c r="D5" s="3">
        <v>50800</v>
      </c>
      <c r="E5" s="3">
        <v>46730</v>
      </c>
      <c r="F5" s="3">
        <f t="shared" si="0"/>
        <v>53596.666666666664</v>
      </c>
      <c r="G5" s="3">
        <f t="shared" si="1"/>
        <v>8612.5625300100437</v>
      </c>
      <c r="H5" s="3"/>
      <c r="I5" s="3"/>
      <c r="J5" s="3"/>
    </row>
    <row r="6" spans="1:10" x14ac:dyDescent="0.25">
      <c r="A6" s="3" t="s">
        <v>12</v>
      </c>
      <c r="B6" s="3" t="s">
        <v>15</v>
      </c>
      <c r="C6" s="3">
        <v>103400</v>
      </c>
      <c r="D6" s="3">
        <v>176600</v>
      </c>
      <c r="E6" s="3">
        <v>168400</v>
      </c>
      <c r="F6" s="3">
        <f t="shared" si="0"/>
        <v>149466.66666666666</v>
      </c>
      <c r="G6" s="3">
        <f t="shared" si="1"/>
        <v>40105.028778612439</v>
      </c>
      <c r="H6" s="3"/>
      <c r="I6" s="3"/>
      <c r="J6" s="3"/>
    </row>
    <row r="7" spans="1:10" x14ac:dyDescent="0.25">
      <c r="A7" s="4" t="s">
        <v>12</v>
      </c>
      <c r="B7" s="4" t="s">
        <v>16</v>
      </c>
      <c r="C7" s="4">
        <v>101900</v>
      </c>
      <c r="D7" s="4">
        <v>92380</v>
      </c>
      <c r="E7" s="4">
        <v>87950</v>
      </c>
      <c r="F7" s="4">
        <f t="shared" si="0"/>
        <v>94076.666666666672</v>
      </c>
      <c r="G7" s="4">
        <f t="shared" si="1"/>
        <v>7128.0876350766994</v>
      </c>
      <c r="H7" s="4"/>
      <c r="I7" s="4"/>
      <c r="J7" s="4"/>
    </row>
    <row r="8" spans="1:10" x14ac:dyDescent="0.25">
      <c r="A8" s="2" t="s">
        <v>14</v>
      </c>
      <c r="B8" s="2" t="s">
        <v>13</v>
      </c>
      <c r="C8" s="2">
        <v>2948000</v>
      </c>
      <c r="D8" s="2">
        <v>2459000</v>
      </c>
      <c r="E8" s="2">
        <v>3355000</v>
      </c>
      <c r="F8" s="2">
        <f t="shared" si="0"/>
        <v>2920666.6666666665</v>
      </c>
      <c r="G8" s="2">
        <f t="shared" si="1"/>
        <v>448624.93614748388</v>
      </c>
      <c r="H8" s="2"/>
      <c r="I8" s="2"/>
      <c r="J8" s="2"/>
    </row>
    <row r="9" spans="1:10" x14ac:dyDescent="0.25">
      <c r="A9" s="3" t="s">
        <v>14</v>
      </c>
      <c r="B9" s="3" t="s">
        <v>0</v>
      </c>
      <c r="C9" s="3">
        <v>15620</v>
      </c>
      <c r="D9" s="3">
        <v>14620</v>
      </c>
      <c r="E9" s="3">
        <v>15530</v>
      </c>
      <c r="F9" s="3">
        <f t="shared" si="0"/>
        <v>15256.666666666666</v>
      </c>
      <c r="G9" s="3">
        <f t="shared" si="1"/>
        <v>553.20279584735772</v>
      </c>
      <c r="H9" s="3">
        <f>TTEST($C$8:$E$8,C9:E9,2,2)</f>
        <v>3.5970540952254168E-4</v>
      </c>
      <c r="I9" s="3">
        <f>H9*4</f>
        <v>1.4388216380901667E-3</v>
      </c>
      <c r="J9" s="3"/>
    </row>
    <row r="10" spans="1:10" x14ac:dyDescent="0.25">
      <c r="A10" s="3" t="s">
        <v>14</v>
      </c>
      <c r="B10" s="3" t="s">
        <v>1</v>
      </c>
      <c r="C10" s="3">
        <v>2708000</v>
      </c>
      <c r="D10" s="3">
        <v>1516000</v>
      </c>
      <c r="E10" s="3">
        <v>2310000</v>
      </c>
      <c r="F10" s="3">
        <f t="shared" si="0"/>
        <v>2178000</v>
      </c>
      <c r="G10" s="3">
        <f t="shared" si="1"/>
        <v>606864.07044741081</v>
      </c>
      <c r="H10" s="3">
        <f t="shared" ref="H10:H12" si="2">TTEST($C$8:$E$8,C10:E10,2,2)</f>
        <v>0.16349644696882287</v>
      </c>
      <c r="I10" s="3">
        <f>H10</f>
        <v>0.16349644696882287</v>
      </c>
      <c r="J10" s="3"/>
    </row>
    <row r="11" spans="1:10" x14ac:dyDescent="0.25">
      <c r="A11" s="3" t="s">
        <v>14</v>
      </c>
      <c r="B11" s="3" t="s">
        <v>15</v>
      </c>
      <c r="C11" s="3">
        <v>316200</v>
      </c>
      <c r="D11" s="3">
        <v>274300</v>
      </c>
      <c r="E11" s="3">
        <v>496000</v>
      </c>
      <c r="F11" s="3">
        <f t="shared" si="0"/>
        <v>362166.66666666669</v>
      </c>
      <c r="G11" s="3">
        <f t="shared" si="1"/>
        <v>117781.25204519327</v>
      </c>
      <c r="H11" s="3">
        <f t="shared" si="2"/>
        <v>6.703862548662849E-4</v>
      </c>
      <c r="I11" s="3">
        <f>H11*3</f>
        <v>2.0111587645988546E-3</v>
      </c>
      <c r="J11" s="3"/>
    </row>
    <row r="12" spans="1:10" x14ac:dyDescent="0.25">
      <c r="A12" s="4" t="s">
        <v>14</v>
      </c>
      <c r="B12" s="4" t="s">
        <v>16</v>
      </c>
      <c r="C12" s="5">
        <v>299500</v>
      </c>
      <c r="D12" s="4">
        <v>347500</v>
      </c>
      <c r="E12" s="4">
        <v>570200</v>
      </c>
      <c r="F12" s="4">
        <f t="shared" si="0"/>
        <v>405733.33333333331</v>
      </c>
      <c r="G12" s="4">
        <f t="shared" si="1"/>
        <v>144440.17215904078</v>
      </c>
      <c r="H12" s="4">
        <f t="shared" si="2"/>
        <v>7.6181730684416382E-4</v>
      </c>
      <c r="I12" s="4">
        <f>H12*2</f>
        <v>1.5236346136883276E-3</v>
      </c>
      <c r="J12" s="4">
        <f>TTEST(C11:E11,C12:E12,2,2)</f>
        <v>0.7062813788352249</v>
      </c>
    </row>
    <row r="14" spans="1:10" x14ac:dyDescent="0.25">
      <c r="B14" s="1"/>
      <c r="C14" s="1" t="s">
        <v>8</v>
      </c>
      <c r="D14" s="1"/>
      <c r="E14" s="1" t="s">
        <v>9</v>
      </c>
      <c r="F14" s="1"/>
    </row>
    <row r="15" spans="1:10" x14ac:dyDescent="0.25">
      <c r="B15" s="1"/>
      <c r="C15" s="1" t="s">
        <v>12</v>
      </c>
      <c r="D15" s="1" t="s">
        <v>14</v>
      </c>
      <c r="E15" s="1" t="s">
        <v>12</v>
      </c>
      <c r="F15" s="1" t="s">
        <v>14</v>
      </c>
    </row>
    <row r="16" spans="1:10" x14ac:dyDescent="0.25">
      <c r="B16" s="2" t="s">
        <v>13</v>
      </c>
      <c r="C16" s="2">
        <f>F3</f>
        <v>89623.333333333328</v>
      </c>
      <c r="D16" s="2">
        <f>F8</f>
        <v>2920666.6666666665</v>
      </c>
      <c r="E16" s="2">
        <f>G3</f>
        <v>15900.806059232782</v>
      </c>
      <c r="F16" s="2">
        <f>G8</f>
        <v>448624.93614748388</v>
      </c>
    </row>
    <row r="17" spans="2:6" x14ac:dyDescent="0.25">
      <c r="B17" s="3" t="s">
        <v>0</v>
      </c>
      <c r="C17" s="3">
        <f t="shared" ref="C17:C20" si="3">F4</f>
        <v>29990</v>
      </c>
      <c r="D17" s="3">
        <f t="shared" ref="D17:D20" si="4">F9</f>
        <v>15256.666666666666</v>
      </c>
      <c r="E17" s="3">
        <f t="shared" ref="E17:E20" si="5">G4</f>
        <v>4585.8586982156348</v>
      </c>
      <c r="F17" s="3">
        <f t="shared" ref="F17:F20" si="6">G9</f>
        <v>553.20279584735772</v>
      </c>
    </row>
    <row r="18" spans="2:6" x14ac:dyDescent="0.25">
      <c r="B18" s="3" t="s">
        <v>1</v>
      </c>
      <c r="C18" s="3">
        <f t="shared" si="3"/>
        <v>53596.666666666664</v>
      </c>
      <c r="D18" s="3">
        <f t="shared" si="4"/>
        <v>2178000</v>
      </c>
      <c r="E18" s="3">
        <f t="shared" si="5"/>
        <v>8612.5625300100437</v>
      </c>
      <c r="F18" s="3">
        <f t="shared" si="6"/>
        <v>606864.07044741081</v>
      </c>
    </row>
    <row r="19" spans="2:6" x14ac:dyDescent="0.25">
      <c r="B19" s="3" t="s">
        <v>15</v>
      </c>
      <c r="C19" s="3">
        <f t="shared" si="3"/>
        <v>149466.66666666666</v>
      </c>
      <c r="D19" s="3">
        <f t="shared" si="4"/>
        <v>362166.66666666669</v>
      </c>
      <c r="E19" s="3">
        <f t="shared" si="5"/>
        <v>40105.028778612439</v>
      </c>
      <c r="F19" s="3">
        <f t="shared" si="6"/>
        <v>117781.25204519327</v>
      </c>
    </row>
    <row r="20" spans="2:6" x14ac:dyDescent="0.25">
      <c r="B20" s="4" t="s">
        <v>16</v>
      </c>
      <c r="C20" s="4">
        <f t="shared" si="3"/>
        <v>94076.666666666672</v>
      </c>
      <c r="D20" s="4">
        <f t="shared" si="4"/>
        <v>405733.33333333331</v>
      </c>
      <c r="E20" s="4">
        <f t="shared" si="5"/>
        <v>7128.0876350766994</v>
      </c>
      <c r="F20" s="4">
        <f t="shared" si="6"/>
        <v>144440.17215904078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Robert Koch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Halbedel, Sven</dc:creator>
  <cp:lastModifiedBy>Halbedel, Sven</cp:lastModifiedBy>
  <dcterms:created xsi:type="dcterms:W3CDTF">2026-01-22T10:06:19Z</dcterms:created>
  <dcterms:modified xsi:type="dcterms:W3CDTF">2026-01-22T10:21:03Z</dcterms:modified>
</cp:coreProperties>
</file>